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026\JANABADRA\"/>
    </mc:Choice>
  </mc:AlternateContent>
  <xr:revisionPtr revIDLastSave="0" documentId="8_{62F44AD4-021A-4409-BC18-A56F1AF73931}" xr6:coauthVersionLast="47" xr6:coauthVersionMax="47" xr10:uidLastSave="{00000000-0000-0000-0000-000000000000}"/>
  <bookViews>
    <workbookView xWindow="-110" yWindow="-110" windowWidth="19420" windowHeight="10300" firstSheet="10" activeTab="13" xr2:uid="{00000000-000D-0000-FFFF-FFFF00000000}"/>
  </bookViews>
  <sheets>
    <sheet name="00_README" sheetId="1" r:id="rId1"/>
    <sheet name="00_REFERENSI" sheetId="2" r:id="rId2"/>
    <sheet name="01_Rumpun" sheetId="3" r:id="rId3"/>
    <sheet name="02_Unit_Kerja" sheetId="4" r:id="rId4"/>
    <sheet name="03_Jabatan" sheetId="5" r:id="rId5"/>
    <sheet name="04_Pegawai" sheetId="6" r:id="rId6"/>
    <sheet name="05_Riwayat_Jabatan" sheetId="7" r:id="rId7"/>
    <sheet name="06_Pelatihan" sheetId="8" r:id="rId8"/>
    <sheet name="07_Riwayat_Pelatihan" sheetId="9" r:id="rId9"/>
    <sheet name="08_Indikator_Kinerja" sheetId="10" r:id="rId10"/>
    <sheet name="09_Kriteria_SAW" sheetId="11" r:id="rId11"/>
    <sheet name="10_Periode_Penilaian" sheetId="12" r:id="rId12"/>
    <sheet name="11_Penilaian_Kinerja" sheetId="13" r:id="rId13"/>
    <sheet name="12_Panduan_Konversi_SAW" sheetId="14" r:id="rId14"/>
  </sheets>
  <calcPr calcId="191029"/>
</workbook>
</file>

<file path=xl/calcChain.xml><?xml version="1.0" encoding="utf-8"?>
<calcChain xmlns="http://schemas.openxmlformats.org/spreadsheetml/2006/main">
  <c r="C11" i="11" l="1"/>
</calcChain>
</file>

<file path=xl/sharedStrings.xml><?xml version="1.0" encoding="utf-8"?>
<sst xmlns="http://schemas.openxmlformats.org/spreadsheetml/2006/main" count="408" uniqueCount="257">
  <si>
    <t>Template Import Data TNA SAW Pengadilan Negeri Sleman</t>
  </si>
  <si>
    <t>Tujuan</t>
  </si>
  <si>
    <t>Template ini digunakan untuk menyiapkan data awal agar dapat diimport ke database sistem TNA berbasis SAW.</t>
  </si>
  <si>
    <t>Cara pakai</t>
  </si>
  <si>
    <t>Isi data mulai dari sheet 01 sampai 11 sesuai urutan. Jangan mengubah nama kolom.</t>
  </si>
  <si>
    <t>Relasi data</t>
  </si>
  <si>
    <t>Gunakan kode unik, seperti kode_rumpun, kode_unit, kode_jabatan, kode_pelatihan, kode_indikator, kode_periode, dan NIP.</t>
  </si>
  <si>
    <t>Format tanggal</t>
  </si>
  <si>
    <t>Gunakan format yyyy-mm-dd, contoh 2026-01-15.</t>
  </si>
  <si>
    <t>Status</t>
  </si>
  <si>
    <t>Gunakan Aktif atau Tidak Aktif.</t>
  </si>
  <si>
    <t>Urutan import 1</t>
  </si>
  <si>
    <t>01_Rumpun</t>
  </si>
  <si>
    <t>Urutan import 2</t>
  </si>
  <si>
    <t>02_Unit_Kerja</t>
  </si>
  <si>
    <t>Urutan import 3</t>
  </si>
  <si>
    <t>03_Jabatan</t>
  </si>
  <si>
    <t>Urutan import 4</t>
  </si>
  <si>
    <t>04_Pegawai</t>
  </si>
  <si>
    <t>Urutan import 5</t>
  </si>
  <si>
    <t>05_Riwayat_Jabatan</t>
  </si>
  <si>
    <t>Urutan import 6</t>
  </si>
  <si>
    <t>06_Pelatihan</t>
  </si>
  <si>
    <t>Urutan import 7</t>
  </si>
  <si>
    <t>07_Riwayat_Pelatihan</t>
  </si>
  <si>
    <t>Urutan import 8</t>
  </si>
  <si>
    <t>08_Indikator_Kinerja</t>
  </si>
  <si>
    <t>Urutan import 9</t>
  </si>
  <si>
    <t>09_Kriteria_SAW</t>
  </si>
  <si>
    <t>Urutan import 10</t>
  </si>
  <si>
    <t>10_Periode_Penilaian</t>
  </si>
  <si>
    <t>Urutan import 11</t>
  </si>
  <si>
    <t>11_Penilaian_Kinerja</t>
  </si>
  <si>
    <t>Catatan</t>
  </si>
  <si>
    <t>Tabel hasil SAW dan rekomendasi pelatihan tidak diimport. Data tersebut dihitung otomatis oleh sistem.</t>
  </si>
  <si>
    <t>Penting</t>
  </si>
  <si>
    <t>Kolom NIP dan nomor HP harus berformat teks agar angka awal 0 atau jumlah digit panjang tidak berubah saat diimport.</t>
  </si>
  <si>
    <t>Referensi Dropdown dan Kode</t>
  </si>
  <si>
    <t>status</t>
  </si>
  <si>
    <t>kode_rumpun</t>
  </si>
  <si>
    <t>jenis_kelamin</t>
  </si>
  <si>
    <t>atribut_saw</t>
  </si>
  <si>
    <t>nilai_rating</t>
  </si>
  <si>
    <t>status_periode</t>
  </si>
  <si>
    <t>Aktif</t>
  </si>
  <si>
    <t>HK</t>
  </si>
  <si>
    <t>L</t>
  </si>
  <si>
    <t>Benefit</t>
  </si>
  <si>
    <t>Draft</t>
  </si>
  <si>
    <t>Tidak Aktif</t>
  </si>
  <si>
    <t>KP</t>
  </si>
  <si>
    <t>P</t>
  </si>
  <si>
    <t>Cost</t>
  </si>
  <si>
    <t>Berjalan</t>
  </si>
  <si>
    <t>KS</t>
  </si>
  <si>
    <t>Dikunci</t>
  </si>
  <si>
    <t>Selesai</t>
  </si>
  <si>
    <t>Batal</t>
  </si>
  <si>
    <t>Contoh Kode</t>
  </si>
  <si>
    <t>Arti</t>
  </si>
  <si>
    <t>Hakim</t>
  </si>
  <si>
    <t>Kepaniteraan</t>
  </si>
  <si>
    <t>Kesekretariatan</t>
  </si>
  <si>
    <t>UK-001</t>
  </si>
  <si>
    <t>Unit kerja pertama</t>
  </si>
  <si>
    <t>JAB-HK-001</t>
  </si>
  <si>
    <t>Jabatan hakim</t>
  </si>
  <si>
    <t>PL-HK-001</t>
  </si>
  <si>
    <t>Pelatihan hakim</t>
  </si>
  <si>
    <t>PER-2026-01</t>
  </si>
  <si>
    <t>Periode penilaian</t>
  </si>
  <si>
    <t>IND-HK-001</t>
  </si>
  <si>
    <t>Indikator kinerja</t>
  </si>
  <si>
    <t>C1</t>
  </si>
  <si>
    <t>Kriteria SAW</t>
  </si>
  <si>
    <t>Master Rumpun Pegawai</t>
  </si>
  <si>
    <t>nama_rumpun</t>
  </si>
  <si>
    <t>deskripsi</t>
  </si>
  <si>
    <t>Rumpun pegawai hakim</t>
  </si>
  <si>
    <t>Rumpun teknis administrasi perkara</t>
  </si>
  <si>
    <t>Rumpun administrasi umum, keuangan, SDM, dan BMN</t>
  </si>
  <si>
    <t>Kolom kode_rumpun menjadi kunci relasi untuk jabatan, pegawai, pelatihan, dan indikator kinerja.</t>
  </si>
  <si>
    <t>Master Unit Kerja</t>
  </si>
  <si>
    <t>kode_unit</t>
  </si>
  <si>
    <t>nama_unit</t>
  </si>
  <si>
    <t>keterangan</t>
  </si>
  <si>
    <t>Pengadilan Negeri Sleman</t>
  </si>
  <si>
    <t>Unit utama</t>
  </si>
  <si>
    <t>UK-002</t>
  </si>
  <si>
    <t>Unit teknis kepaniteraan</t>
  </si>
  <si>
    <t>UK-003</t>
  </si>
  <si>
    <t>Unit kesekretariatan</t>
  </si>
  <si>
    <t>kode_unit digunakan pada data pegawai. Jika struktur unit kerja berubah, tambahkan kode baru dan jangan menghapus data lama yang sudah dipakai.</t>
  </si>
  <si>
    <t>Master Jabatan</t>
  </si>
  <si>
    <t>kode_jabatan</t>
  </si>
  <si>
    <t>nama_jabatan</t>
  </si>
  <si>
    <t>level_jabatan</t>
  </si>
  <si>
    <t>jenis_jabatan</t>
  </si>
  <si>
    <t>Fungsional</t>
  </si>
  <si>
    <t>JAB-KP-001</t>
  </si>
  <si>
    <t>Panitera Muda</t>
  </si>
  <si>
    <t>Struktural/Fungsional</t>
  </si>
  <si>
    <t>JAB-KS-001</t>
  </si>
  <si>
    <t>Kepala Sub Bagian</t>
  </si>
  <si>
    <t>Struktural</t>
  </si>
  <si>
    <t>kode_jabatan direlasikan ke data pegawai dan riwayat jabatan. kode_rumpun harus sesuai dengan sheet 01_Rumpun.</t>
  </si>
  <si>
    <t>Data Pegawai</t>
  </si>
  <si>
    <t>nip</t>
  </si>
  <si>
    <t>nama_pegawai</t>
  </si>
  <si>
    <t>tempat_lahir</t>
  </si>
  <si>
    <t>tanggal_lahir</t>
  </si>
  <si>
    <t>email</t>
  </si>
  <si>
    <t>no_hp</t>
  </si>
  <si>
    <t>tmt_jabatan</t>
  </si>
  <si>
    <t>status_pegawai</t>
  </si>
  <si>
    <t>198001012006041001</t>
  </si>
  <si>
    <t>Pegawai Contoh Hakim</t>
  </si>
  <si>
    <t>Sleman</t>
  </si>
  <si>
    <t>pegawai.hk@example.go.id</t>
  </si>
  <si>
    <t>081234567890</t>
  </si>
  <si>
    <t>198502022008042002</t>
  </si>
  <si>
    <t>Pegawai Contoh KP</t>
  </si>
  <si>
    <t>Yogyakarta</t>
  </si>
  <si>
    <t>pegawai.kp@example.go.id</t>
  </si>
  <si>
    <t>081234567891</t>
  </si>
  <si>
    <t>199003032010043003</t>
  </si>
  <si>
    <t>Pegawai Contoh KS</t>
  </si>
  <si>
    <t>Bantul</t>
  </si>
  <si>
    <t>pegawai.ks@example.go.id</t>
  </si>
  <si>
    <t>081234567892</t>
  </si>
  <si>
    <t>NIP menjadi primary identifier untuk pegawai. tmt_jabatan dipakai untuk menghitung masa jabatan saat ini pada kriteria C3.</t>
  </si>
  <si>
    <t>Riwayat Jabatan Pegawai</t>
  </si>
  <si>
    <t>tanggal_mulai</t>
  </si>
  <si>
    <t>tanggal_selesai</t>
  </si>
  <si>
    <t>jenis_riwayat</t>
  </si>
  <si>
    <t>Jabatan Saat Ini</t>
  </si>
  <si>
    <t>Contoh data</t>
  </si>
  <si>
    <t>tanggal_selesai boleh kosong untuk jabatan yang masih aktif. Data ini dapat dipakai untuk menghitung C3 dan C4.</t>
  </si>
  <si>
    <t>Master Pelatihan</t>
  </si>
  <si>
    <t>kode_pelatihan</t>
  </si>
  <si>
    <t>nama_pelatihan</t>
  </si>
  <si>
    <t>kategori_pelatihan</t>
  </si>
  <si>
    <t>kompetensi_tujuan</t>
  </si>
  <si>
    <t>penyelenggara</t>
  </si>
  <si>
    <t>durasi_jam</t>
  </si>
  <si>
    <t>Pelatihan Penyusunan Putusan</t>
  </si>
  <si>
    <t>Teknis Yudisial</t>
  </si>
  <si>
    <t>Analisis hukum dan penyusunan putusan</t>
  </si>
  <si>
    <t>Mahkamah Agung/Balai Diklat</t>
  </si>
  <si>
    <t>PL-KP-001</t>
  </si>
  <si>
    <t>Pelatihan Administrasi Perkara Elektronik</t>
  </si>
  <si>
    <t>Teknis Kepaniteraan</t>
  </si>
  <si>
    <t>Administrasi perkara dan e-Court</t>
  </si>
  <si>
    <t>PL-KS-001</t>
  </si>
  <si>
    <t>Pelatihan Pengelolaan BMN dan Pelaporan</t>
  </si>
  <si>
    <t>Administrasi Umum</t>
  </si>
  <si>
    <t>Pengelolaan BMN, arsip, dan laporan</t>
  </si>
  <si>
    <t>kode_pelatihan digunakan pada riwayat pelatihan pegawai. kode_rumpun memastikan rekomendasi pelatihan sesuai rumpun.</t>
  </si>
  <si>
    <t>Riwayat Pelatihan Pegawai</t>
  </si>
  <si>
    <t>nomor_sertifikat</t>
  </si>
  <si>
    <t>hasil</t>
  </si>
  <si>
    <t>Balai Diklat</t>
  </si>
  <si>
    <t>SERT-HK-001</t>
  </si>
  <si>
    <t>Lulus</t>
  </si>
  <si>
    <t>SERT-KP-001</t>
  </si>
  <si>
    <t>Belum Mengikuti</t>
  </si>
  <si>
    <t>Contoh belum ada pelatihan relevan</t>
  </si>
  <si>
    <t>Data ini menjadi dasar konversi C2. Jika pegawai belum pernah mengikuti pelatihan relevan, dapat diberi status Belum Mengikuti.</t>
  </si>
  <si>
    <t>Indikator Kinerja per Rumpun</t>
  </si>
  <si>
    <t>kode_indikator</t>
  </si>
  <si>
    <t>nama_indikator</t>
  </si>
  <si>
    <t>bobot_indikator</t>
  </si>
  <si>
    <t>skala_min</t>
  </si>
  <si>
    <t>skala_max</t>
  </si>
  <si>
    <t>Kualitas Putusan</t>
  </si>
  <si>
    <t>Kemampuan menyusun pertimbangan hukum dan putusan</t>
  </si>
  <si>
    <t>IND-KP-001</t>
  </si>
  <si>
    <t>Ketepatan Administrasi Perkara</t>
  </si>
  <si>
    <t>Ketepatan pengelolaan berkas dan proses administrasi perkara</t>
  </si>
  <si>
    <t>IND-KS-001</t>
  </si>
  <si>
    <t>Ketepatan Pelaporan</t>
  </si>
  <si>
    <t>Ketepatan penyusunan laporan administrasi, SDM, keuangan, atau BMN</t>
  </si>
  <si>
    <t>Indikator harus disesuaikan dengan rumpun pegawai. Nilai indikator akan dihitung menjadi C1.</t>
  </si>
  <si>
    <t>Kriteria dan Bobot SAW</t>
  </si>
  <si>
    <t>kode_kriteria</t>
  </si>
  <si>
    <t>nama_kriteria</t>
  </si>
  <si>
    <t>atribut</t>
  </si>
  <si>
    <t>bobot</t>
  </si>
  <si>
    <t>Penilaian Capaian Kinerja Berbasis Kompetensi</t>
  </si>
  <si>
    <t>Nilai rendah menunjukkan kebutuhan pelatihan lebih tinggi</t>
  </si>
  <si>
    <t>C2</t>
  </si>
  <si>
    <t>Riwayat Pelatihan</t>
  </si>
  <si>
    <t>Nilai tinggi menunjukkan kebutuhan pelatihan lebih tinggi karena pelatihan relevan kurang/terlalu lama</t>
  </si>
  <si>
    <t>C3</t>
  </si>
  <si>
    <t>Masa Jabatan Saat Ini</t>
  </si>
  <si>
    <t>Makin lama pada jabatan, makin membutuhkan penyegaran kompetensi</t>
  </si>
  <si>
    <t>C4</t>
  </si>
  <si>
    <t>Jenjang Jabatan / Riwayat Promosi</t>
  </si>
  <si>
    <t>Makin tinggi urgensi pengembangan jabatan, makin tinggi nilai</t>
  </si>
  <si>
    <t>C5</t>
  </si>
  <si>
    <t>Usia</t>
  </si>
  <si>
    <t>Faktor pendukung kecil dalam prioritas pelatihan</t>
  </si>
  <si>
    <t>Total bobot wajib = 1,000. Jangan mengubah atribut tanpa menyesuaikan logika normalisasi SAW.</t>
  </si>
  <si>
    <t>Validasi Total Bobot</t>
  </si>
  <si>
    <t>Total</t>
  </si>
  <si>
    <t>Periode Penilaian</t>
  </si>
  <si>
    <t>kode_periode</t>
  </si>
  <si>
    <t>nama_periode</t>
  </si>
  <si>
    <t>Penilaian Semester I 2026</t>
  </si>
  <si>
    <t>Contoh periode</t>
  </si>
  <si>
    <t>PER-2026-02</t>
  </si>
  <si>
    <t>Penilaian Semester II 2026</t>
  </si>
  <si>
    <t>Periode diperlukan agar penilaian, hasil SAW, ranking, dan laporan TNA dapat dipisahkan per waktu.</t>
  </si>
  <si>
    <t>Penilaian Kinerja Pegawai</t>
  </si>
  <si>
    <t>nilai_indikator</t>
  </si>
  <si>
    <t>catatan_penilai</t>
  </si>
  <si>
    <t>nip_penilai</t>
  </si>
  <si>
    <t>tanggal_penilaian</t>
  </si>
  <si>
    <t>Perlu penguatan pada konsistensi argumentasi putusan</t>
  </si>
  <si>
    <t>197501012000041001</t>
  </si>
  <si>
    <t>Perlu peningkatan ketepatan administrasi perkara</t>
  </si>
  <si>
    <t>Cukup baik, perlu penyegaran pelaporan</t>
  </si>
  <si>
    <t>nilai_indikator memakai skala 1 sampai 5. Sistem menghitung C1 dari nilai penilaian kinerja berbasis indikator.</t>
  </si>
  <si>
    <t>Panduan Konversi Nilai Alternatif SAW</t>
  </si>
  <si>
    <t>Kriteria</t>
  </si>
  <si>
    <t>Atribut</t>
  </si>
  <si>
    <t>Nilai 1</t>
  </si>
  <si>
    <t>Nilai 2</t>
  </si>
  <si>
    <t>Nilai 3</t>
  </si>
  <si>
    <t>Nilai 4 / 5</t>
  </si>
  <si>
    <t>C1 Kinerja</t>
  </si>
  <si>
    <t>Sangat rendah</t>
  </si>
  <si>
    <t>Rendah</t>
  </si>
  <si>
    <t>Cukup</t>
  </si>
  <si>
    <t>Baik / Sangat baik</t>
  </si>
  <si>
    <t>C2 Riwayat Pelatihan</t>
  </si>
  <si>
    <t>Baru mengikuti pelatihan</t>
  </si>
  <si>
    <t>1 sampai 2 tahun</t>
  </si>
  <si>
    <t>2 sampai 3 tahun</t>
  </si>
  <si>
    <t>&gt; 3 tahun / belum pernah</t>
  </si>
  <si>
    <t>C3 Masa Jabatan</t>
  </si>
  <si>
    <t>&lt; 1 tahun</t>
  </si>
  <si>
    <t>3 sampai 4 tahun / &gt; 4 tahun</t>
  </si>
  <si>
    <t>C4 Jabatan/Promosi</t>
  </si>
  <si>
    <t>Urgensi sangat rendah</t>
  </si>
  <si>
    <t>Sedang</t>
  </si>
  <si>
    <t>Tinggi / sangat tinggi</t>
  </si>
  <si>
    <t>C5 Usia</t>
  </si>
  <si>
    <t>Usia produktif awal</t>
  </si>
  <si>
    <t>Produktif menengah</t>
  </si>
  <si>
    <t>Produktif lanjut</t>
  </si>
  <si>
    <t>Mendekati pensiun / sangat dekat</t>
  </si>
  <si>
    <t>Sheet ini hanya panduan. Nilai alternatif SAW sebaiknya dihitung otomatis oleh sistem dari data pegawai, riwayat jabatan, riwayat pelatihan, dan penilaian kinerja.</t>
  </si>
  <si>
    <t>Normalisasi Benefit</t>
  </si>
  <si>
    <t>rij = xij / max(xij)</t>
  </si>
  <si>
    <t>Normalisasi Cost</t>
  </si>
  <si>
    <t>rij = min(xij) / xij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</si>
</sst>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5">
    <font>
      <sz val="11"/>
      <name val="Carlito"/>
    </font>
    <font>
      <b/>
      <sz val="13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E"/>
      </patternFill>
    </fill>
    <fill>
      <patternFill patternType="solid">
        <fgColor rgb="FF1D4ED8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4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vertical="top" wrapText="1"/>
    </xf>
    <xf numFmtId="1" fontId="0" fillId="0" borderId="0" xfId="0" applyNumberFormat="1" applyAlignment="1">
      <alignment wrapText="1"/>
    </xf>
    <xf numFmtId="165" fontId="0" fillId="0" borderId="0" xfId="0" applyNumberFormat="1" applyAlignment="1">
      <alignment vertical="top" wrapText="1"/>
    </xf>
    <xf numFmtId="165" fontId="0" fillId="0" borderId="0" xfId="0" applyNumberFormat="1" applyAlignment="1">
      <alignment wrapText="1"/>
    </xf>
    <xf numFmtId="165" fontId="2" fillId="5" borderId="0" xfId="0" applyNumberFormat="1" applyFont="1" applyFill="1" applyAlignment="1">
      <alignment wrapText="1"/>
    </xf>
    <xf numFmtId="0" fontId="2" fillId="6" borderId="0" xfId="0" applyFont="1" applyFill="1"/>
    <xf numFmtId="0" fontId="0" fillId="6" borderId="0" xfId="0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5" borderId="0" xfId="0" applyFont="1" applyFill="1" applyAlignment="1">
      <alignment vertical="top" wrapText="1"/>
    </xf>
    <xf numFmtId="0" fontId="0" fillId="0" borderId="0" xfId="0" applyAlignment="1">
      <alignment wrapText="1"/>
    </xf>
    <xf numFmtId="49" fontId="4" fillId="5" borderId="0" xfId="0" applyNumberFormat="1" applyFont="1" applyFill="1" applyAlignment="1">
      <alignment vertical="top" wrapText="1"/>
    </xf>
    <xf numFmtId="16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4" fillId="5" borderId="0" xfId="0" applyFont="1" applyFill="1" applyAlignment="1">
      <alignment wrapText="1"/>
    </xf>
  </cellXfs>
  <cellStyles count="1">
    <cellStyle name="Normal" xfId="0" builtinId="0"/>
  </cellStyles>
  <dxfs count="1"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adme" displayName="tbl_readme" ref="A3:B19" headerRowCount="0">
  <tableColumns count="2">
    <tableColumn id="1" xr3:uid="{00000000-0010-0000-0000-000001000000}" name="Column1"/>
    <tableColumn id="2" xr3:uid="{00000000-0010-0000-0000-000002000000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umpun" displayName="tbl_rumpun" ref="A3:D6">
  <tableColumns count="4">
    <tableColumn id="1" xr3:uid="{00000000-0010-0000-0100-000001000000}" name="kode_rumpun"/>
    <tableColumn id="2" xr3:uid="{00000000-0010-0000-0100-000002000000}" name="nama_rumpun"/>
    <tableColumn id="3" xr3:uid="{00000000-0010-0000-0100-000003000000}" name="deskripsi"/>
    <tableColumn id="4" xr3:uid="{00000000-0010-0000-0100-000004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unit_kerja" displayName="tbl_unit_kerja" ref="A3:D6">
  <tableColumns count="4">
    <tableColumn id="1" xr3:uid="{00000000-0010-0000-0200-000001000000}" name="kode_unit"/>
    <tableColumn id="2" xr3:uid="{00000000-0010-0000-0200-000002000000}" name="nama_unit"/>
    <tableColumn id="3" xr3:uid="{00000000-0010-0000-0200-000003000000}" name="keterangan"/>
    <tableColumn id="4" xr3:uid="{00000000-0010-0000-0200-000004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jabatan" displayName="tbl_jabatan" ref="A3:G6">
  <tableColumns count="7">
    <tableColumn id="1" xr3:uid="{00000000-0010-0000-0300-000001000000}" name="kode_jabatan"/>
    <tableColumn id="2" xr3:uid="{00000000-0010-0000-0300-000002000000}" name="nama_jabatan"/>
    <tableColumn id="3" xr3:uid="{00000000-0010-0000-0300-000003000000}" name="kode_rumpun"/>
    <tableColumn id="4" xr3:uid="{00000000-0010-0000-0300-000004000000}" name="kode_unit"/>
    <tableColumn id="5" xr3:uid="{00000000-0010-0000-0300-000005000000}" name="level_jabatan"/>
    <tableColumn id="6" xr3:uid="{00000000-0010-0000-0300-000006000000}" name="jenis_jabatan"/>
    <tableColumn id="7" xr3:uid="{00000000-0010-0000-0300-000007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egawai" displayName="tbl_pegawai" ref="A3:L6">
  <tableColumns count="12">
    <tableColumn id="1" xr3:uid="{00000000-0010-0000-0400-000001000000}" name="nip"/>
    <tableColumn id="2" xr3:uid="{00000000-0010-0000-0400-000002000000}" name="nama_pegawai"/>
    <tableColumn id="3" xr3:uid="{00000000-0010-0000-0400-000003000000}" name="jenis_kelamin"/>
    <tableColumn id="4" xr3:uid="{00000000-0010-0000-0400-000004000000}" name="tempat_lahir"/>
    <tableColumn id="5" xr3:uid="{00000000-0010-0000-0400-000005000000}" name="tanggal_lahir"/>
    <tableColumn id="6" xr3:uid="{00000000-0010-0000-0400-000006000000}" name="email"/>
    <tableColumn id="7" xr3:uid="{00000000-0010-0000-0400-000007000000}" name="no_hp"/>
    <tableColumn id="8" xr3:uid="{00000000-0010-0000-0400-000008000000}" name="kode_rumpun"/>
    <tableColumn id="9" xr3:uid="{00000000-0010-0000-0400-000009000000}" name="kode_unit"/>
    <tableColumn id="10" xr3:uid="{00000000-0010-0000-0400-00000A000000}" name="kode_jabatan"/>
    <tableColumn id="11" xr3:uid="{00000000-0010-0000-0400-00000B000000}" name="tmt_jabatan"/>
    <tableColumn id="12" xr3:uid="{00000000-0010-0000-0400-00000C000000}" name="status_pegawa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riwayat_jabatan" displayName="tbl_riwayat_jabatan" ref="A3:F6">
  <tableColumns count="6">
    <tableColumn id="1" xr3:uid="{00000000-0010-0000-0500-000001000000}" name="nip"/>
    <tableColumn id="2" xr3:uid="{00000000-0010-0000-0500-000002000000}" name="kode_jabatan"/>
    <tableColumn id="3" xr3:uid="{00000000-0010-0000-0500-000003000000}" name="tanggal_mulai"/>
    <tableColumn id="4" xr3:uid="{00000000-0010-0000-0500-000004000000}" name="tanggal_selesai"/>
    <tableColumn id="5" xr3:uid="{00000000-0010-0000-0500-000005000000}" name="jenis_riwayat"/>
    <tableColumn id="6" xr3:uid="{00000000-0010-0000-0500-000006000000}" name="keteranga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elatihan" displayName="tbl_pelatihan" ref="A3:H6">
  <tableColumns count="8">
    <tableColumn id="1" xr3:uid="{00000000-0010-0000-0600-000001000000}" name="kode_pelatihan"/>
    <tableColumn id="2" xr3:uid="{00000000-0010-0000-0600-000002000000}" name="nama_pelatihan"/>
    <tableColumn id="3" xr3:uid="{00000000-0010-0000-0600-000003000000}" name="kode_rumpun"/>
    <tableColumn id="4" xr3:uid="{00000000-0010-0000-0600-000004000000}" name="kategori_pelatihan"/>
    <tableColumn id="5" xr3:uid="{00000000-0010-0000-0600-000005000000}" name="kompetensi_tujuan"/>
    <tableColumn id="6" xr3:uid="{00000000-0010-0000-0600-000006000000}" name="penyelenggara"/>
    <tableColumn id="7" xr3:uid="{00000000-0010-0000-0600-000007000000}" name="durasi_jam"/>
    <tableColumn id="8" xr3:uid="{00000000-0010-0000-0600-000008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riwayat_pelatihan" displayName="tbl_riwayat_pelatihan" ref="A3:H6">
  <tableColumns count="8">
    <tableColumn id="1" xr3:uid="{00000000-0010-0000-0700-000001000000}" name="nip"/>
    <tableColumn id="2" xr3:uid="{00000000-0010-0000-0700-000002000000}" name="kode_pelatihan"/>
    <tableColumn id="3" xr3:uid="{00000000-0010-0000-0700-000003000000}" name="tanggal_mulai"/>
    <tableColumn id="4" xr3:uid="{00000000-0010-0000-0700-000004000000}" name="tanggal_selesai"/>
    <tableColumn id="5" xr3:uid="{00000000-0010-0000-0700-000005000000}" name="penyelenggara"/>
    <tableColumn id="6" xr3:uid="{00000000-0010-0000-0700-000006000000}" name="nomor_sertifikat"/>
    <tableColumn id="7" xr3:uid="{00000000-0010-0000-0700-000007000000}" name="hasil"/>
    <tableColumn id="8" xr3:uid="{00000000-0010-0000-0700-000008000000}" name="keteranga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indikator" displayName="tbl_indikator" ref="A3:H6">
  <tableColumns count="8">
    <tableColumn id="1" xr3:uid="{00000000-0010-0000-0800-000001000000}" name="kode_indikator"/>
    <tableColumn id="2" xr3:uid="{00000000-0010-0000-0800-000002000000}" name="kode_rumpun"/>
    <tableColumn id="3" xr3:uid="{00000000-0010-0000-0800-000003000000}" name="nama_indikator"/>
    <tableColumn id="4" xr3:uid="{00000000-0010-0000-0800-000004000000}" name="deskripsi"/>
    <tableColumn id="5" xr3:uid="{00000000-0010-0000-0800-000005000000}" name="bobot_indikator"/>
    <tableColumn id="6" xr3:uid="{00000000-0010-0000-0800-000006000000}" name="skala_min"/>
    <tableColumn id="7" xr3:uid="{00000000-0010-0000-0800-000007000000}" name="skala_max"/>
    <tableColumn id="8" xr3:uid="{00000000-0010-0000-0800-000008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kriteria_saw" displayName="tbl_kriteria_saw" ref="A3:G8">
  <tableColumns count="7">
    <tableColumn id="1" xr3:uid="{00000000-0010-0000-0900-000001000000}" name="kode_kriteria"/>
    <tableColumn id="2" xr3:uid="{00000000-0010-0000-0900-000002000000}" name="nama_kriteria"/>
    <tableColumn id="3" xr3:uid="{00000000-0010-0000-0900-000003000000}" name="atribut"/>
    <tableColumn id="4" xr3:uid="{00000000-0010-0000-0900-000004000000}" name="bobot"/>
    <tableColumn id="5" xr3:uid="{00000000-0010-0000-0900-000005000000}" name="skala_min"/>
    <tableColumn id="6" xr3:uid="{00000000-0010-0000-0900-000006000000}" name="skala_max"/>
    <tableColumn id="7" xr3:uid="{00000000-0010-0000-0900-000007000000}" name="keteranga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periode" displayName="tbl_periode" ref="A3:F5">
  <tableColumns count="6">
    <tableColumn id="1" xr3:uid="{00000000-0010-0000-0A00-000001000000}" name="kode_periode"/>
    <tableColumn id="2" xr3:uid="{00000000-0010-0000-0A00-000002000000}" name="nama_periode"/>
    <tableColumn id="3" xr3:uid="{00000000-0010-0000-0A00-000003000000}" name="tanggal_mulai"/>
    <tableColumn id="4" xr3:uid="{00000000-0010-0000-0A00-000004000000}" name="tanggal_selesai"/>
    <tableColumn id="5" xr3:uid="{00000000-0010-0000-0A00-000005000000}" name="status_periode"/>
    <tableColumn id="6" xr3:uid="{00000000-0010-0000-0A00-000006000000}" name="keteranga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penilaian_kinerja" displayName="tbl_penilaian_kinerja" ref="A3:G6">
  <tableColumns count="7">
    <tableColumn id="1" xr3:uid="{00000000-0010-0000-0B00-000001000000}" name="kode_periode"/>
    <tableColumn id="2" xr3:uid="{00000000-0010-0000-0B00-000002000000}" name="nip"/>
    <tableColumn id="3" xr3:uid="{00000000-0010-0000-0B00-000003000000}" name="kode_indikator"/>
    <tableColumn id="4" xr3:uid="{00000000-0010-0000-0B00-000004000000}" name="nilai_indikator"/>
    <tableColumn id="5" xr3:uid="{00000000-0010-0000-0B00-000005000000}" name="catatan_penilai"/>
    <tableColumn id="6" xr3:uid="{00000000-0010-0000-0B00-000006000000}" name="nip_penilai"/>
    <tableColumn id="7" xr3:uid="{00000000-0010-0000-0B00-000007000000}" name="tanggal_penilai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/>
  </sheetViews>
  <sheetFormatPr defaultRowHeight="14"/>
  <cols>
    <col min="1" max="1" width="22" customWidth="1"/>
    <col min="2" max="2" width="90" customWidth="1"/>
  </cols>
  <sheetData>
    <row r="1" spans="1:11" ht="16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 ht="28">
      <c r="A3" s="1" t="s">
        <v>1</v>
      </c>
      <c r="B3" s="2" t="s">
        <v>2</v>
      </c>
    </row>
    <row r="4" spans="1:11">
      <c r="A4" s="1" t="s">
        <v>3</v>
      </c>
      <c r="B4" s="2" t="s">
        <v>4</v>
      </c>
    </row>
    <row r="5" spans="1:11" ht="28">
      <c r="A5" s="1" t="s">
        <v>5</v>
      </c>
      <c r="B5" s="2" t="s">
        <v>6</v>
      </c>
    </row>
    <row r="6" spans="1:11">
      <c r="A6" s="1" t="s">
        <v>7</v>
      </c>
      <c r="B6" s="2" t="s">
        <v>8</v>
      </c>
    </row>
    <row r="7" spans="1:11">
      <c r="A7" s="1" t="s">
        <v>9</v>
      </c>
      <c r="B7" s="2" t="s">
        <v>10</v>
      </c>
    </row>
    <row r="8" spans="1:11">
      <c r="A8" s="1" t="s">
        <v>11</v>
      </c>
      <c r="B8" s="2" t="s">
        <v>12</v>
      </c>
    </row>
    <row r="9" spans="1:11">
      <c r="A9" s="1" t="s">
        <v>13</v>
      </c>
      <c r="B9" s="2" t="s">
        <v>14</v>
      </c>
    </row>
    <row r="10" spans="1:11">
      <c r="A10" s="1" t="s">
        <v>15</v>
      </c>
      <c r="B10" s="2" t="s">
        <v>16</v>
      </c>
    </row>
    <row r="11" spans="1:11">
      <c r="A11" s="1" t="s">
        <v>17</v>
      </c>
      <c r="B11" s="2" t="s">
        <v>18</v>
      </c>
    </row>
    <row r="12" spans="1:11">
      <c r="A12" s="1" t="s">
        <v>19</v>
      </c>
      <c r="B12" s="2" t="s">
        <v>20</v>
      </c>
    </row>
    <row r="13" spans="1:11">
      <c r="A13" s="1" t="s">
        <v>21</v>
      </c>
      <c r="B13" s="2" t="s">
        <v>22</v>
      </c>
    </row>
    <row r="14" spans="1:11">
      <c r="A14" s="1" t="s">
        <v>23</v>
      </c>
      <c r="B14" s="2" t="s">
        <v>24</v>
      </c>
    </row>
    <row r="15" spans="1:11">
      <c r="A15" s="1" t="s">
        <v>25</v>
      </c>
      <c r="B15" s="2" t="s">
        <v>26</v>
      </c>
    </row>
    <row r="16" spans="1:11">
      <c r="A16" s="1" t="s">
        <v>27</v>
      </c>
      <c r="B16" s="2" t="s">
        <v>28</v>
      </c>
    </row>
    <row r="17" spans="1:2">
      <c r="A17" s="1" t="s">
        <v>29</v>
      </c>
      <c r="B17" s="2" t="s">
        <v>30</v>
      </c>
    </row>
    <row r="18" spans="1:2">
      <c r="A18" s="1" t="s">
        <v>31</v>
      </c>
      <c r="B18" s="2" t="s">
        <v>32</v>
      </c>
    </row>
    <row r="19" spans="1:2">
      <c r="A19" s="1" t="s">
        <v>33</v>
      </c>
      <c r="B19" s="2" t="s">
        <v>34</v>
      </c>
    </row>
    <row r="20" spans="1:2" ht="28">
      <c r="A20" s="16" t="s">
        <v>35</v>
      </c>
      <c r="B20" s="17" t="s">
        <v>36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sqref="A1:K1"/>
    </sheetView>
  </sheetViews>
  <sheetFormatPr defaultRowHeight="14"/>
  <cols>
    <col min="1" max="1" width="18" customWidth="1"/>
    <col min="3" max="3" width="18" customWidth="1"/>
    <col min="5" max="5" width="18" customWidth="1"/>
    <col min="7" max="7" width="18" customWidth="1"/>
    <col min="9" max="9" width="18" customWidth="1"/>
    <col min="11" max="11" width="18" customWidth="1"/>
  </cols>
  <sheetData>
    <row r="1" spans="1:11" ht="16" customHeight="1">
      <c r="A1" s="18" t="s">
        <v>37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3" t="s">
        <v>38</v>
      </c>
      <c r="B2" s="3"/>
      <c r="C2" s="3" t="s">
        <v>39</v>
      </c>
      <c r="D2" s="3"/>
      <c r="E2" s="3" t="s">
        <v>40</v>
      </c>
      <c r="F2" s="3"/>
      <c r="G2" s="3" t="s">
        <v>41</v>
      </c>
      <c r="H2" s="3"/>
      <c r="I2" s="3" t="s">
        <v>42</v>
      </c>
      <c r="J2" s="3"/>
      <c r="K2" s="3" t="s">
        <v>43</v>
      </c>
    </row>
    <row r="3" spans="1:11">
      <c r="A3" t="s">
        <v>44</v>
      </c>
      <c r="C3" t="s">
        <v>45</v>
      </c>
      <c r="E3" t="s">
        <v>46</v>
      </c>
      <c r="G3" t="s">
        <v>47</v>
      </c>
      <c r="I3">
        <v>1</v>
      </c>
      <c r="K3" t="s">
        <v>48</v>
      </c>
    </row>
    <row r="4" spans="1:11">
      <c r="A4" t="s">
        <v>49</v>
      </c>
      <c r="C4" t="s">
        <v>50</v>
      </c>
      <c r="E4" t="s">
        <v>51</v>
      </c>
      <c r="G4" t="s">
        <v>52</v>
      </c>
      <c r="I4">
        <v>2</v>
      </c>
      <c r="K4" t="s">
        <v>53</v>
      </c>
    </row>
    <row r="5" spans="1:11">
      <c r="C5" t="s">
        <v>54</v>
      </c>
      <c r="I5">
        <v>3</v>
      </c>
      <c r="K5" t="s">
        <v>55</v>
      </c>
    </row>
    <row r="6" spans="1:11">
      <c r="I6">
        <v>4</v>
      </c>
      <c r="K6" t="s">
        <v>56</v>
      </c>
    </row>
    <row r="7" spans="1:11">
      <c r="I7">
        <v>5</v>
      </c>
      <c r="K7" t="s">
        <v>57</v>
      </c>
    </row>
    <row r="9" spans="1:11" ht="28">
      <c r="A9" s="1" t="s">
        <v>58</v>
      </c>
      <c r="B9" s="1" t="s">
        <v>59</v>
      </c>
      <c r="C9" s="1"/>
      <c r="D9" s="1" t="s">
        <v>58</v>
      </c>
      <c r="E9" s="1" t="s">
        <v>59</v>
      </c>
      <c r="F9" s="1"/>
      <c r="G9" s="1" t="s">
        <v>58</v>
      </c>
      <c r="H9" s="1" t="s">
        <v>59</v>
      </c>
    </row>
    <row r="10" spans="1:11" ht="28">
      <c r="A10" s="2" t="s">
        <v>45</v>
      </c>
      <c r="B10" s="2" t="s">
        <v>60</v>
      </c>
      <c r="C10" s="2"/>
      <c r="D10" s="2" t="s">
        <v>50</v>
      </c>
      <c r="E10" s="2" t="s">
        <v>61</v>
      </c>
      <c r="F10" s="2"/>
      <c r="G10" s="2" t="s">
        <v>54</v>
      </c>
      <c r="H10" s="2" t="s">
        <v>62</v>
      </c>
    </row>
    <row r="11" spans="1:11" ht="28">
      <c r="A11" s="2" t="s">
        <v>63</v>
      </c>
      <c r="B11" s="2" t="s">
        <v>64</v>
      </c>
      <c r="C11" s="2"/>
      <c r="D11" s="2" t="s">
        <v>65</v>
      </c>
      <c r="E11" s="2" t="s">
        <v>66</v>
      </c>
      <c r="F11" s="2"/>
      <c r="G11" s="2" t="s">
        <v>67</v>
      </c>
      <c r="H11" s="2" t="s">
        <v>68</v>
      </c>
    </row>
    <row r="12" spans="1:11" ht="28">
      <c r="A12" s="2" t="s">
        <v>69</v>
      </c>
      <c r="B12" s="2" t="s">
        <v>70</v>
      </c>
      <c r="C12" s="2"/>
      <c r="D12" s="2" t="s">
        <v>71</v>
      </c>
      <c r="E12" s="2" t="s">
        <v>72</v>
      </c>
      <c r="F12" s="2"/>
      <c r="G12" s="2" t="s">
        <v>73</v>
      </c>
      <c r="H12" s="2" t="s">
        <v>74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sqref="A1:K1"/>
    </sheetView>
  </sheetViews>
  <sheetFormatPr defaultRowHeight="14"/>
  <cols>
    <col min="1" max="1" width="16" customWidth="1"/>
    <col min="2" max="2" width="24" customWidth="1"/>
    <col min="3" max="3" width="52" customWidth="1"/>
    <col min="4" max="4" width="16" customWidth="1"/>
  </cols>
  <sheetData>
    <row r="1" spans="1:26" ht="16" customHeight="1">
      <c r="A1" s="18" t="s">
        <v>75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26" ht="22.65" customHeight="1">
      <c r="A3" s="5" t="s">
        <v>39</v>
      </c>
      <c r="B3" s="5" t="s">
        <v>76</v>
      </c>
      <c r="C3" s="5" t="s">
        <v>77</v>
      </c>
      <c r="D3" s="5" t="s">
        <v>38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" t="s">
        <v>45</v>
      </c>
      <c r="B4" s="6" t="s">
        <v>60</v>
      </c>
      <c r="C4" s="6" t="s">
        <v>78</v>
      </c>
      <c r="D4" s="6" t="s">
        <v>44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 t="s">
        <v>50</v>
      </c>
      <c r="B5" s="6" t="s">
        <v>61</v>
      </c>
      <c r="C5" s="6" t="s">
        <v>79</v>
      </c>
      <c r="D5" s="6" t="s">
        <v>44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 t="s">
        <v>54</v>
      </c>
      <c r="B6" s="6" t="s">
        <v>62</v>
      </c>
      <c r="C6" s="6" t="s">
        <v>80</v>
      </c>
      <c r="D6" s="6" t="s">
        <v>44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" customHeight="1">
      <c r="A8" s="20" t="s">
        <v>81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8:K8"/>
  </mergeCells>
  <dataValidations count="1">
    <dataValidation type="list" sqref="D4:D200" xr:uid="{00000000-0002-0000-0200-000000000000}">
      <formula1>"Aktif,Tidak Aktif"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sqref="A1:K1"/>
    </sheetView>
  </sheetViews>
  <sheetFormatPr defaultRowHeight="14"/>
  <cols>
    <col min="1" max="1" width="18" customWidth="1"/>
    <col min="2" max="2" width="36" customWidth="1"/>
    <col min="3" max="3" width="52" customWidth="1"/>
    <col min="4" max="4" width="16" customWidth="1"/>
  </cols>
  <sheetData>
    <row r="1" spans="1:26" ht="16" customHeight="1">
      <c r="A1" s="18" t="s">
        <v>82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26" ht="22.65" customHeight="1">
      <c r="A3" s="5" t="s">
        <v>83</v>
      </c>
      <c r="B3" s="5" t="s">
        <v>84</v>
      </c>
      <c r="C3" s="5" t="s">
        <v>85</v>
      </c>
      <c r="D3" s="5" t="s">
        <v>38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" t="s">
        <v>63</v>
      </c>
      <c r="B4" s="6" t="s">
        <v>86</v>
      </c>
      <c r="C4" s="6" t="s">
        <v>87</v>
      </c>
      <c r="D4" s="6" t="s">
        <v>44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 t="s">
        <v>88</v>
      </c>
      <c r="B5" s="6" t="s">
        <v>61</v>
      </c>
      <c r="C5" s="6" t="s">
        <v>89</v>
      </c>
      <c r="D5" s="6" t="s">
        <v>44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 t="s">
        <v>90</v>
      </c>
      <c r="B6" s="6" t="s">
        <v>62</v>
      </c>
      <c r="C6" s="6" t="s">
        <v>91</v>
      </c>
      <c r="D6" s="6" t="s">
        <v>44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" customHeight="1">
      <c r="A8" s="20" t="s">
        <v>92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8:K8"/>
  </mergeCells>
  <dataValidations count="1">
    <dataValidation type="list" sqref="D4:D200" xr:uid="{00000000-0002-0000-0300-000000000000}">
      <formula1>"Aktif,Tidak Aktif"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sqref="A1:K1"/>
    </sheetView>
  </sheetViews>
  <sheetFormatPr defaultRowHeight="14"/>
  <cols>
    <col min="1" max="1" width="18" customWidth="1"/>
    <col min="2" max="2" width="34" customWidth="1"/>
    <col min="3" max="4" width="16" customWidth="1"/>
    <col min="5" max="5" width="22" customWidth="1"/>
    <col min="6" max="6" width="26" customWidth="1"/>
    <col min="7" max="7" width="16" customWidth="1"/>
  </cols>
  <sheetData>
    <row r="1" spans="1:26" ht="16" customHeight="1">
      <c r="A1" s="18" t="s">
        <v>93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26" ht="22.65" customHeight="1">
      <c r="A3" s="5" t="s">
        <v>94</v>
      </c>
      <c r="B3" s="5" t="s">
        <v>95</v>
      </c>
      <c r="C3" s="5" t="s">
        <v>39</v>
      </c>
      <c r="D3" s="5" t="s">
        <v>83</v>
      </c>
      <c r="E3" s="5" t="s">
        <v>96</v>
      </c>
      <c r="F3" s="5" t="s">
        <v>97</v>
      </c>
      <c r="G3" s="5" t="s">
        <v>38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" t="s">
        <v>65</v>
      </c>
      <c r="B4" s="6" t="s">
        <v>60</v>
      </c>
      <c r="C4" s="6" t="s">
        <v>45</v>
      </c>
      <c r="D4" s="6" t="s">
        <v>63</v>
      </c>
      <c r="E4" s="6" t="s">
        <v>98</v>
      </c>
      <c r="F4" s="6" t="s">
        <v>60</v>
      </c>
      <c r="G4" s="6" t="s">
        <v>44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 t="s">
        <v>99</v>
      </c>
      <c r="B5" s="6" t="s">
        <v>100</v>
      </c>
      <c r="C5" s="6" t="s">
        <v>50</v>
      </c>
      <c r="D5" s="6" t="s">
        <v>88</v>
      </c>
      <c r="E5" s="6" t="s">
        <v>101</v>
      </c>
      <c r="F5" s="6" t="s">
        <v>61</v>
      </c>
      <c r="G5" s="6" t="s">
        <v>44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 t="s">
        <v>102</v>
      </c>
      <c r="B6" s="6" t="s">
        <v>103</v>
      </c>
      <c r="C6" s="6" t="s">
        <v>54</v>
      </c>
      <c r="D6" s="6" t="s">
        <v>90</v>
      </c>
      <c r="E6" s="6" t="s">
        <v>104</v>
      </c>
      <c r="F6" s="6" t="s">
        <v>62</v>
      </c>
      <c r="G6" s="6" t="s">
        <v>44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" customHeight="1">
      <c r="A8" s="20" t="s">
        <v>105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8:K8"/>
  </mergeCells>
  <dataValidations count="2">
    <dataValidation type="list" sqref="C4:C200" xr:uid="{00000000-0002-0000-0400-000000000000}">
      <formula1>"HK,KP,KS"</formula1>
    </dataValidation>
    <dataValidation type="list" sqref="G4:G200" xr:uid="{00000000-0002-0000-0400-000001000000}">
      <formula1>"Aktif,Tidak Aktif"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sqref="A1:K1"/>
    </sheetView>
  </sheetViews>
  <sheetFormatPr defaultRowHeight="14"/>
  <cols>
    <col min="1" max="1" width="22" customWidth="1"/>
    <col min="2" max="2" width="32" customWidth="1"/>
    <col min="3" max="3" width="14" customWidth="1"/>
    <col min="4" max="4" width="20" customWidth="1"/>
    <col min="5" max="5" width="18" customWidth="1"/>
    <col min="6" max="6" width="34" customWidth="1"/>
    <col min="7" max="7" width="18" customWidth="1"/>
    <col min="8" max="9" width="16" customWidth="1"/>
    <col min="10" max="12" width="18" customWidth="1"/>
  </cols>
  <sheetData>
    <row r="1" spans="1:26" ht="16" customHeight="1">
      <c r="A1" s="18" t="s">
        <v>106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26" ht="22.65" customHeight="1">
      <c r="A3" s="5" t="s">
        <v>107</v>
      </c>
      <c r="B3" s="5" t="s">
        <v>108</v>
      </c>
      <c r="C3" s="5" t="s">
        <v>40</v>
      </c>
      <c r="D3" s="5" t="s">
        <v>109</v>
      </c>
      <c r="E3" s="5" t="s">
        <v>110</v>
      </c>
      <c r="F3" s="5" t="s">
        <v>111</v>
      </c>
      <c r="G3" s="5" t="s">
        <v>112</v>
      </c>
      <c r="H3" s="5" t="s">
        <v>39</v>
      </c>
      <c r="I3" s="5" t="s">
        <v>83</v>
      </c>
      <c r="J3" s="5" t="s">
        <v>94</v>
      </c>
      <c r="K3" s="5" t="s">
        <v>113</v>
      </c>
      <c r="L3" s="5" t="s">
        <v>114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 t="s">
        <v>115</v>
      </c>
      <c r="B4" s="6" t="s">
        <v>116</v>
      </c>
      <c r="C4" s="6" t="s">
        <v>46</v>
      </c>
      <c r="D4" s="6" t="s">
        <v>117</v>
      </c>
      <c r="E4" s="8">
        <v>29221</v>
      </c>
      <c r="F4" s="6" t="s">
        <v>118</v>
      </c>
      <c r="G4" s="7" t="s">
        <v>119</v>
      </c>
      <c r="H4" s="6" t="s">
        <v>45</v>
      </c>
      <c r="I4" s="6" t="s">
        <v>63</v>
      </c>
      <c r="J4" s="6" t="s">
        <v>65</v>
      </c>
      <c r="K4" s="8">
        <v>44562</v>
      </c>
      <c r="L4" s="6" t="s">
        <v>44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 t="s">
        <v>120</v>
      </c>
      <c r="B5" s="6" t="s">
        <v>121</v>
      </c>
      <c r="C5" s="6" t="s">
        <v>51</v>
      </c>
      <c r="D5" s="6" t="s">
        <v>122</v>
      </c>
      <c r="E5" s="8">
        <v>31080</v>
      </c>
      <c r="F5" s="6" t="s">
        <v>123</v>
      </c>
      <c r="G5" s="7" t="s">
        <v>124</v>
      </c>
      <c r="H5" s="6" t="s">
        <v>50</v>
      </c>
      <c r="I5" s="6" t="s">
        <v>88</v>
      </c>
      <c r="J5" s="6" t="s">
        <v>99</v>
      </c>
      <c r="K5" s="8">
        <v>44348</v>
      </c>
      <c r="L5" s="6" t="s">
        <v>44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 t="s">
        <v>125</v>
      </c>
      <c r="B6" s="6" t="s">
        <v>126</v>
      </c>
      <c r="C6" s="6" t="s">
        <v>46</v>
      </c>
      <c r="D6" s="6" t="s">
        <v>127</v>
      </c>
      <c r="E6" s="8">
        <v>32935</v>
      </c>
      <c r="F6" s="6" t="s">
        <v>128</v>
      </c>
      <c r="G6" s="7" t="s">
        <v>129</v>
      </c>
      <c r="H6" s="6" t="s">
        <v>54</v>
      </c>
      <c r="I6" s="6" t="s">
        <v>90</v>
      </c>
      <c r="J6" s="6" t="s">
        <v>102</v>
      </c>
      <c r="K6" s="8">
        <v>44013</v>
      </c>
      <c r="L6" s="6" t="s">
        <v>44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9"/>
      <c r="B7" s="2"/>
      <c r="C7" s="2"/>
      <c r="D7" s="2"/>
      <c r="E7" s="10"/>
      <c r="F7" s="2"/>
      <c r="G7" s="9"/>
      <c r="H7" s="2"/>
      <c r="I7" s="2"/>
      <c r="J7" s="2"/>
      <c r="K7" s="1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" customHeight="1">
      <c r="A8" s="22" t="s">
        <v>130</v>
      </c>
      <c r="B8" s="21"/>
      <c r="C8" s="21"/>
      <c r="D8" s="21"/>
      <c r="E8" s="23"/>
      <c r="F8" s="21"/>
      <c r="G8" s="24"/>
      <c r="H8" s="21"/>
      <c r="I8" s="21"/>
      <c r="J8" s="21"/>
      <c r="K8" s="2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/>
      <c r="B9" s="2"/>
      <c r="C9" s="2"/>
      <c r="D9" s="2"/>
      <c r="E9" s="10"/>
      <c r="F9" s="2"/>
      <c r="G9" s="9"/>
      <c r="H9" s="2"/>
      <c r="I9" s="2"/>
      <c r="J9" s="2"/>
      <c r="K9" s="1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9"/>
      <c r="B10" s="2"/>
      <c r="C10" s="2"/>
      <c r="D10" s="2"/>
      <c r="E10" s="10"/>
      <c r="F10" s="2"/>
      <c r="G10" s="9"/>
      <c r="H10" s="2"/>
      <c r="I10" s="2"/>
      <c r="J10" s="2"/>
      <c r="K10" s="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9"/>
      <c r="B11" s="2"/>
      <c r="C11" s="2"/>
      <c r="D11" s="2"/>
      <c r="E11" s="10"/>
      <c r="F11" s="2"/>
      <c r="G11" s="9"/>
      <c r="H11" s="2"/>
      <c r="I11" s="2"/>
      <c r="J11" s="2"/>
      <c r="K11" s="1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9"/>
      <c r="B12" s="2"/>
      <c r="C12" s="2"/>
      <c r="D12" s="2"/>
      <c r="E12" s="10"/>
      <c r="F12" s="2"/>
      <c r="G12" s="9"/>
      <c r="H12" s="2"/>
      <c r="I12" s="2"/>
      <c r="J12" s="2"/>
      <c r="K12" s="1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9"/>
      <c r="B13" s="2"/>
      <c r="C13" s="2"/>
      <c r="D13" s="2"/>
      <c r="E13" s="10"/>
      <c r="F13" s="2"/>
      <c r="G13" s="9"/>
      <c r="H13" s="2"/>
      <c r="I13" s="2"/>
      <c r="J13" s="2"/>
      <c r="K13" s="1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/>
      <c r="B14" s="2"/>
      <c r="C14" s="2"/>
      <c r="D14" s="2"/>
      <c r="E14" s="10"/>
      <c r="F14" s="2"/>
      <c r="G14" s="9"/>
      <c r="H14" s="2"/>
      <c r="I14" s="2"/>
      <c r="J14" s="2"/>
      <c r="K14" s="1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/>
      <c r="B15" s="2"/>
      <c r="C15" s="2"/>
      <c r="D15" s="2"/>
      <c r="E15" s="10"/>
      <c r="F15" s="2"/>
      <c r="G15" s="9"/>
      <c r="H15" s="2"/>
      <c r="I15" s="2"/>
      <c r="J15" s="2"/>
      <c r="K15" s="1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9"/>
      <c r="B16" s="2"/>
      <c r="C16" s="2"/>
      <c r="D16" s="2"/>
      <c r="E16" s="10"/>
      <c r="F16" s="2"/>
      <c r="G16" s="9"/>
      <c r="H16" s="2"/>
      <c r="I16" s="2"/>
      <c r="J16" s="2"/>
      <c r="K16" s="1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9"/>
      <c r="B17" s="2"/>
      <c r="C17" s="2"/>
      <c r="D17" s="2"/>
      <c r="E17" s="10"/>
      <c r="F17" s="2"/>
      <c r="G17" s="9"/>
      <c r="H17" s="2"/>
      <c r="I17" s="2"/>
      <c r="J17" s="2"/>
      <c r="K17" s="1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9"/>
      <c r="B18" s="2"/>
      <c r="C18" s="2"/>
      <c r="D18" s="2"/>
      <c r="E18" s="10"/>
      <c r="F18" s="2"/>
      <c r="G18" s="9"/>
      <c r="H18" s="2"/>
      <c r="I18" s="2"/>
      <c r="J18" s="2"/>
      <c r="K18" s="1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9"/>
      <c r="B19" s="2"/>
      <c r="C19" s="2"/>
      <c r="D19" s="2"/>
      <c r="E19" s="10"/>
      <c r="F19" s="2"/>
      <c r="G19" s="9"/>
      <c r="H19" s="2"/>
      <c r="I19" s="2"/>
      <c r="J19" s="2"/>
      <c r="K19" s="1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9"/>
      <c r="B20" s="2"/>
      <c r="C20" s="2"/>
      <c r="D20" s="2"/>
      <c r="E20" s="10"/>
      <c r="F20" s="2"/>
      <c r="G20" s="9"/>
      <c r="H20" s="2"/>
      <c r="I20" s="2"/>
      <c r="J20" s="2"/>
      <c r="K20" s="1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9"/>
      <c r="B21" s="2"/>
      <c r="C21" s="2"/>
      <c r="D21" s="2"/>
      <c r="E21" s="10"/>
      <c r="F21" s="2"/>
      <c r="G21" s="9"/>
      <c r="H21" s="2"/>
      <c r="I21" s="2"/>
      <c r="J21" s="2"/>
      <c r="K21" s="1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9"/>
      <c r="B22" s="2"/>
      <c r="C22" s="2"/>
      <c r="D22" s="2"/>
      <c r="E22" s="10"/>
      <c r="F22" s="2"/>
      <c r="G22" s="9"/>
      <c r="H22" s="2"/>
      <c r="I22" s="2"/>
      <c r="J22" s="2"/>
      <c r="K22" s="1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9"/>
      <c r="B23" s="2"/>
      <c r="C23" s="2"/>
      <c r="D23" s="2"/>
      <c r="E23" s="10"/>
      <c r="F23" s="2"/>
      <c r="G23" s="9"/>
      <c r="H23" s="2"/>
      <c r="I23" s="2"/>
      <c r="J23" s="2"/>
      <c r="K23" s="1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9"/>
      <c r="B24" s="2"/>
      <c r="C24" s="2"/>
      <c r="D24" s="2"/>
      <c r="E24" s="10"/>
      <c r="F24" s="2"/>
      <c r="G24" s="9"/>
      <c r="H24" s="2"/>
      <c r="I24" s="2"/>
      <c r="J24" s="2"/>
      <c r="K24" s="1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9"/>
      <c r="B25" s="2"/>
      <c r="C25" s="2"/>
      <c r="D25" s="2"/>
      <c r="E25" s="10"/>
      <c r="F25" s="2"/>
      <c r="G25" s="9"/>
      <c r="H25" s="2"/>
      <c r="I25" s="2"/>
      <c r="J25" s="2"/>
      <c r="K25" s="1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9"/>
      <c r="B26" s="2"/>
      <c r="C26" s="2"/>
      <c r="D26" s="2"/>
      <c r="E26" s="10"/>
      <c r="F26" s="2"/>
      <c r="G26" s="9"/>
      <c r="H26" s="2"/>
      <c r="I26" s="2"/>
      <c r="J26" s="2"/>
      <c r="K26" s="1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9"/>
      <c r="B27" s="2"/>
      <c r="C27" s="2"/>
      <c r="D27" s="2"/>
      <c r="E27" s="10"/>
      <c r="F27" s="2"/>
      <c r="G27" s="9"/>
      <c r="H27" s="2"/>
      <c r="I27" s="2"/>
      <c r="J27" s="2"/>
      <c r="K27" s="1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9"/>
      <c r="B28" s="2"/>
      <c r="C28" s="2"/>
      <c r="D28" s="2"/>
      <c r="E28" s="10"/>
      <c r="F28" s="2"/>
      <c r="G28" s="9"/>
      <c r="H28" s="2"/>
      <c r="I28" s="2"/>
      <c r="J28" s="2"/>
      <c r="K28" s="1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9"/>
      <c r="B29" s="2"/>
      <c r="C29" s="2"/>
      <c r="D29" s="2"/>
      <c r="E29" s="10"/>
      <c r="F29" s="2"/>
      <c r="G29" s="9"/>
      <c r="H29" s="2"/>
      <c r="I29" s="2"/>
      <c r="J29" s="2"/>
      <c r="K29" s="1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9"/>
      <c r="B30" s="2"/>
      <c r="C30" s="2"/>
      <c r="D30" s="2"/>
      <c r="E30" s="10"/>
      <c r="F30" s="2"/>
      <c r="G30" s="9"/>
      <c r="H30" s="2"/>
      <c r="I30" s="2"/>
      <c r="J30" s="2"/>
      <c r="K30" s="1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9"/>
      <c r="B31" s="2"/>
      <c r="C31" s="2"/>
      <c r="D31" s="2"/>
      <c r="E31" s="10"/>
      <c r="F31" s="2"/>
      <c r="G31" s="9"/>
      <c r="H31" s="2"/>
      <c r="I31" s="2"/>
      <c r="J31" s="2"/>
      <c r="K31" s="1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9"/>
      <c r="B32" s="2"/>
      <c r="C32" s="2"/>
      <c r="D32" s="2"/>
      <c r="E32" s="10"/>
      <c r="F32" s="2"/>
      <c r="G32" s="9"/>
      <c r="H32" s="2"/>
      <c r="I32" s="2"/>
      <c r="J32" s="2"/>
      <c r="K32" s="1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9"/>
      <c r="B33" s="2"/>
      <c r="C33" s="2"/>
      <c r="D33" s="2"/>
      <c r="E33" s="10"/>
      <c r="F33" s="2"/>
      <c r="G33" s="9"/>
      <c r="H33" s="2"/>
      <c r="I33" s="2"/>
      <c r="J33" s="2"/>
      <c r="K33" s="1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9"/>
      <c r="B34" s="2"/>
      <c r="C34" s="2"/>
      <c r="D34" s="2"/>
      <c r="E34" s="10"/>
      <c r="F34" s="2"/>
      <c r="G34" s="9"/>
      <c r="H34" s="2"/>
      <c r="I34" s="2"/>
      <c r="J34" s="2"/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9"/>
      <c r="B35" s="2"/>
      <c r="C35" s="2"/>
      <c r="D35" s="2"/>
      <c r="E35" s="10"/>
      <c r="F35" s="2"/>
      <c r="G35" s="9"/>
      <c r="H35" s="2"/>
      <c r="I35" s="2"/>
      <c r="J35" s="2"/>
      <c r="K35" s="1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9"/>
      <c r="B36" s="2"/>
      <c r="C36" s="2"/>
      <c r="D36" s="2"/>
      <c r="E36" s="10"/>
      <c r="F36" s="2"/>
      <c r="G36" s="9"/>
      <c r="H36" s="2"/>
      <c r="I36" s="2"/>
      <c r="J36" s="2"/>
      <c r="K36" s="1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9"/>
      <c r="B37" s="2"/>
      <c r="C37" s="2"/>
      <c r="D37" s="2"/>
      <c r="E37" s="10"/>
      <c r="F37" s="2"/>
      <c r="G37" s="9"/>
      <c r="H37" s="2"/>
      <c r="I37" s="2"/>
      <c r="J37" s="2"/>
      <c r="K37" s="1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9"/>
      <c r="B38" s="2"/>
      <c r="C38" s="2"/>
      <c r="D38" s="2"/>
      <c r="E38" s="10"/>
      <c r="F38" s="2"/>
      <c r="G38" s="9"/>
      <c r="H38" s="2"/>
      <c r="I38" s="2"/>
      <c r="J38" s="2"/>
      <c r="K38" s="10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9"/>
      <c r="B39" s="2"/>
      <c r="C39" s="2"/>
      <c r="D39" s="2"/>
      <c r="E39" s="10"/>
      <c r="F39" s="2"/>
      <c r="G39" s="9"/>
      <c r="H39" s="2"/>
      <c r="I39" s="2"/>
      <c r="J39" s="2"/>
      <c r="K39" s="10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9"/>
      <c r="B40" s="2"/>
      <c r="C40" s="2"/>
      <c r="D40" s="2"/>
      <c r="E40" s="10"/>
      <c r="F40" s="2"/>
      <c r="G40" s="9"/>
      <c r="H40" s="2"/>
      <c r="I40" s="2"/>
      <c r="J40" s="2"/>
      <c r="K40" s="10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9"/>
      <c r="B41" s="2"/>
      <c r="C41" s="2"/>
      <c r="D41" s="2"/>
      <c r="E41" s="10"/>
      <c r="F41" s="2"/>
      <c r="G41" s="9"/>
      <c r="H41" s="2"/>
      <c r="I41" s="2"/>
      <c r="J41" s="2"/>
      <c r="K41" s="10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9"/>
      <c r="B42" s="2"/>
      <c r="C42" s="2"/>
      <c r="D42" s="2"/>
      <c r="E42" s="10"/>
      <c r="F42" s="2"/>
      <c r="G42" s="9"/>
      <c r="H42" s="2"/>
      <c r="I42" s="2"/>
      <c r="J42" s="2"/>
      <c r="K42" s="1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9"/>
      <c r="B43" s="2"/>
      <c r="C43" s="2"/>
      <c r="D43" s="2"/>
      <c r="E43" s="10"/>
      <c r="F43" s="2"/>
      <c r="G43" s="9"/>
      <c r="H43" s="2"/>
      <c r="I43" s="2"/>
      <c r="J43" s="2"/>
      <c r="K43" s="1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9"/>
      <c r="B44" s="2"/>
      <c r="C44" s="2"/>
      <c r="D44" s="2"/>
      <c r="E44" s="10"/>
      <c r="F44" s="2"/>
      <c r="G44" s="9"/>
      <c r="H44" s="2"/>
      <c r="I44" s="2"/>
      <c r="J44" s="2"/>
      <c r="K44" s="10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9"/>
      <c r="B45" s="2"/>
      <c r="C45" s="2"/>
      <c r="D45" s="2"/>
      <c r="E45" s="10"/>
      <c r="F45" s="2"/>
      <c r="G45" s="9"/>
      <c r="H45" s="2"/>
      <c r="I45" s="2"/>
      <c r="J45" s="2"/>
      <c r="K45" s="10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9"/>
      <c r="B46" s="2"/>
      <c r="C46" s="2"/>
      <c r="D46" s="2"/>
      <c r="E46" s="10"/>
      <c r="F46" s="2"/>
      <c r="G46" s="9"/>
      <c r="H46" s="2"/>
      <c r="I46" s="2"/>
      <c r="J46" s="2"/>
      <c r="K46" s="1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9"/>
      <c r="B47" s="2"/>
      <c r="C47" s="2"/>
      <c r="D47" s="2"/>
      <c r="E47" s="10"/>
      <c r="F47" s="2"/>
      <c r="G47" s="9"/>
      <c r="H47" s="2"/>
      <c r="I47" s="2"/>
      <c r="J47" s="2"/>
      <c r="K47" s="10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9"/>
      <c r="B48" s="2"/>
      <c r="C48" s="2"/>
      <c r="D48" s="2"/>
      <c r="E48" s="10"/>
      <c r="F48" s="2"/>
      <c r="G48" s="9"/>
      <c r="H48" s="2"/>
      <c r="I48" s="2"/>
      <c r="J48" s="2"/>
      <c r="K48" s="10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9"/>
      <c r="B49" s="2"/>
      <c r="C49" s="2"/>
      <c r="D49" s="2"/>
      <c r="E49" s="10"/>
      <c r="F49" s="2"/>
      <c r="G49" s="9"/>
      <c r="H49" s="2"/>
      <c r="I49" s="2"/>
      <c r="J49" s="2"/>
      <c r="K49" s="10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9"/>
      <c r="B50" s="2"/>
      <c r="C50" s="2"/>
      <c r="D50" s="2"/>
      <c r="E50" s="10"/>
      <c r="F50" s="2"/>
      <c r="G50" s="9"/>
      <c r="H50" s="2"/>
      <c r="I50" s="2"/>
      <c r="J50" s="2"/>
      <c r="K50" s="1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9"/>
      <c r="B51" s="2"/>
      <c r="C51" s="2"/>
      <c r="D51" s="2"/>
      <c r="E51" s="10"/>
      <c r="F51" s="2"/>
      <c r="G51" s="9"/>
      <c r="H51" s="2"/>
      <c r="I51" s="2"/>
      <c r="J51" s="2"/>
      <c r="K51" s="10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9"/>
      <c r="B52" s="2"/>
      <c r="C52" s="2"/>
      <c r="D52" s="2"/>
      <c r="E52" s="10"/>
      <c r="F52" s="2"/>
      <c r="G52" s="9"/>
      <c r="H52" s="2"/>
      <c r="I52" s="2"/>
      <c r="J52" s="2"/>
      <c r="K52" s="1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9"/>
      <c r="B53" s="2"/>
      <c r="C53" s="2"/>
      <c r="D53" s="2"/>
      <c r="E53" s="10"/>
      <c r="F53" s="2"/>
      <c r="G53" s="9"/>
      <c r="H53" s="2"/>
      <c r="I53" s="2"/>
      <c r="J53" s="2"/>
      <c r="K53" s="1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9"/>
      <c r="B54" s="2"/>
      <c r="C54" s="2"/>
      <c r="D54" s="2"/>
      <c r="E54" s="10"/>
      <c r="F54" s="2"/>
      <c r="G54" s="9"/>
      <c r="H54" s="2"/>
      <c r="I54" s="2"/>
      <c r="J54" s="2"/>
      <c r="K54" s="10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9"/>
      <c r="B55" s="2"/>
      <c r="C55" s="2"/>
      <c r="D55" s="2"/>
      <c r="E55" s="10"/>
      <c r="F55" s="2"/>
      <c r="G55" s="9"/>
      <c r="H55" s="2"/>
      <c r="I55" s="2"/>
      <c r="J55" s="2"/>
      <c r="K55" s="10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9"/>
      <c r="B56" s="2"/>
      <c r="C56" s="2"/>
      <c r="D56" s="2"/>
      <c r="E56" s="10"/>
      <c r="F56" s="2"/>
      <c r="G56" s="9"/>
      <c r="H56" s="2"/>
      <c r="I56" s="2"/>
      <c r="J56" s="2"/>
      <c r="K56" s="10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9"/>
      <c r="B57" s="2"/>
      <c r="C57" s="2"/>
      <c r="D57" s="2"/>
      <c r="E57" s="10"/>
      <c r="F57" s="2"/>
      <c r="G57" s="9"/>
      <c r="H57" s="2"/>
      <c r="I57" s="2"/>
      <c r="J57" s="2"/>
      <c r="K57" s="10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9"/>
      <c r="B58" s="2"/>
      <c r="C58" s="2"/>
      <c r="D58" s="2"/>
      <c r="E58" s="10"/>
      <c r="F58" s="2"/>
      <c r="G58" s="9"/>
      <c r="H58" s="2"/>
      <c r="I58" s="2"/>
      <c r="J58" s="2"/>
      <c r="K58" s="10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9"/>
      <c r="B59" s="2"/>
      <c r="C59" s="2"/>
      <c r="D59" s="2"/>
      <c r="E59" s="10"/>
      <c r="F59" s="2"/>
      <c r="G59" s="9"/>
      <c r="H59" s="2"/>
      <c r="I59" s="2"/>
      <c r="J59" s="2"/>
      <c r="K59" s="1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9"/>
      <c r="B60" s="2"/>
      <c r="C60" s="2"/>
      <c r="D60" s="2"/>
      <c r="E60" s="10"/>
      <c r="F60" s="2"/>
      <c r="G60" s="9"/>
      <c r="H60" s="2"/>
      <c r="I60" s="2"/>
      <c r="J60" s="2"/>
      <c r="K60" s="10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9"/>
      <c r="B61" s="2"/>
      <c r="C61" s="2"/>
      <c r="D61" s="2"/>
      <c r="E61" s="10"/>
      <c r="F61" s="2"/>
      <c r="G61" s="9"/>
      <c r="H61" s="2"/>
      <c r="I61" s="2"/>
      <c r="J61" s="2"/>
      <c r="K61" s="10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9"/>
      <c r="B62" s="2"/>
      <c r="C62" s="2"/>
      <c r="D62" s="2"/>
      <c r="E62" s="10"/>
      <c r="F62" s="2"/>
      <c r="G62" s="9"/>
      <c r="H62" s="2"/>
      <c r="I62" s="2"/>
      <c r="J62" s="2"/>
      <c r="K62" s="10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9"/>
      <c r="B63" s="2"/>
      <c r="C63" s="2"/>
      <c r="D63" s="2"/>
      <c r="E63" s="10"/>
      <c r="F63" s="2"/>
      <c r="G63" s="9"/>
      <c r="H63" s="2"/>
      <c r="I63" s="2"/>
      <c r="J63" s="2"/>
      <c r="K63" s="10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9"/>
      <c r="B64" s="2"/>
      <c r="C64" s="2"/>
      <c r="D64" s="2"/>
      <c r="E64" s="10"/>
      <c r="F64" s="2"/>
      <c r="G64" s="9"/>
      <c r="H64" s="2"/>
      <c r="I64" s="2"/>
      <c r="J64" s="2"/>
      <c r="K64" s="10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9"/>
      <c r="B65" s="2"/>
      <c r="C65" s="2"/>
      <c r="D65" s="2"/>
      <c r="E65" s="10"/>
      <c r="F65" s="2"/>
      <c r="G65" s="9"/>
      <c r="H65" s="2"/>
      <c r="I65" s="2"/>
      <c r="J65" s="2"/>
      <c r="K65" s="10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9"/>
      <c r="B66" s="2"/>
      <c r="C66" s="2"/>
      <c r="D66" s="2"/>
      <c r="E66" s="10"/>
      <c r="F66" s="2"/>
      <c r="G66" s="9"/>
      <c r="H66" s="2"/>
      <c r="I66" s="2"/>
      <c r="J66" s="2"/>
      <c r="K66" s="10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9"/>
      <c r="B67" s="2"/>
      <c r="C67" s="2"/>
      <c r="D67" s="2"/>
      <c r="E67" s="10"/>
      <c r="F67" s="2"/>
      <c r="G67" s="9"/>
      <c r="H67" s="2"/>
      <c r="I67" s="2"/>
      <c r="J67" s="2"/>
      <c r="K67" s="1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9"/>
      <c r="B68" s="2"/>
      <c r="C68" s="2"/>
      <c r="D68" s="2"/>
      <c r="E68" s="10"/>
      <c r="F68" s="2"/>
      <c r="G68" s="9"/>
      <c r="H68" s="2"/>
      <c r="I68" s="2"/>
      <c r="J68" s="2"/>
      <c r="K68" s="10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9"/>
      <c r="B69" s="2"/>
      <c r="C69" s="2"/>
      <c r="D69" s="2"/>
      <c r="E69" s="10"/>
      <c r="F69" s="2"/>
      <c r="G69" s="9"/>
      <c r="H69" s="2"/>
      <c r="I69" s="2"/>
      <c r="J69" s="2"/>
      <c r="K69" s="10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9"/>
      <c r="B70" s="2"/>
      <c r="C70" s="2"/>
      <c r="D70" s="2"/>
      <c r="E70" s="10"/>
      <c r="F70" s="2"/>
      <c r="G70" s="9"/>
      <c r="H70" s="2"/>
      <c r="I70" s="2"/>
      <c r="J70" s="2"/>
      <c r="K70" s="10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9"/>
      <c r="B71" s="2"/>
      <c r="C71" s="2"/>
      <c r="D71" s="2"/>
      <c r="E71" s="10"/>
      <c r="F71" s="2"/>
      <c r="G71" s="9"/>
      <c r="H71" s="2"/>
      <c r="I71" s="2"/>
      <c r="J71" s="2"/>
      <c r="K71" s="10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9"/>
      <c r="B72" s="2"/>
      <c r="C72" s="2"/>
      <c r="D72" s="2"/>
      <c r="E72" s="10"/>
      <c r="F72" s="2"/>
      <c r="G72" s="9"/>
      <c r="H72" s="2"/>
      <c r="I72" s="2"/>
      <c r="J72" s="2"/>
      <c r="K72" s="10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9"/>
      <c r="B73" s="2"/>
      <c r="C73" s="2"/>
      <c r="D73" s="2"/>
      <c r="E73" s="10"/>
      <c r="F73" s="2"/>
      <c r="G73" s="9"/>
      <c r="H73" s="2"/>
      <c r="I73" s="2"/>
      <c r="J73" s="2"/>
      <c r="K73" s="10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9"/>
      <c r="B74" s="2"/>
      <c r="C74" s="2"/>
      <c r="D74" s="2"/>
      <c r="E74" s="10"/>
      <c r="F74" s="2"/>
      <c r="G74" s="9"/>
      <c r="H74" s="2"/>
      <c r="I74" s="2"/>
      <c r="J74" s="2"/>
      <c r="K74" s="10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9"/>
      <c r="B75" s="2"/>
      <c r="C75" s="2"/>
      <c r="D75" s="2"/>
      <c r="E75" s="10"/>
      <c r="F75" s="2"/>
      <c r="G75" s="9"/>
      <c r="H75" s="2"/>
      <c r="I75" s="2"/>
      <c r="J75" s="2"/>
      <c r="K75" s="10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9"/>
      <c r="B76" s="2"/>
      <c r="C76" s="2"/>
      <c r="D76" s="2"/>
      <c r="E76" s="10"/>
      <c r="F76" s="2"/>
      <c r="G76" s="9"/>
      <c r="H76" s="2"/>
      <c r="I76" s="2"/>
      <c r="J76" s="2"/>
      <c r="K76" s="10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9"/>
      <c r="B77" s="2"/>
      <c r="C77" s="2"/>
      <c r="D77" s="2"/>
      <c r="E77" s="10"/>
      <c r="F77" s="2"/>
      <c r="G77" s="9"/>
      <c r="H77" s="2"/>
      <c r="I77" s="2"/>
      <c r="J77" s="2"/>
      <c r="K77" s="10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9"/>
      <c r="B78" s="2"/>
      <c r="C78" s="2"/>
      <c r="D78" s="2"/>
      <c r="E78" s="10"/>
      <c r="F78" s="2"/>
      <c r="G78" s="9"/>
      <c r="H78" s="2"/>
      <c r="I78" s="2"/>
      <c r="J78" s="2"/>
      <c r="K78" s="10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9"/>
      <c r="B79" s="2"/>
      <c r="C79" s="2"/>
      <c r="D79" s="2"/>
      <c r="E79" s="10"/>
      <c r="F79" s="2"/>
      <c r="G79" s="9"/>
      <c r="H79" s="2"/>
      <c r="I79" s="2"/>
      <c r="J79" s="2"/>
      <c r="K79" s="10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9"/>
      <c r="B80" s="2"/>
      <c r="C80" s="2"/>
      <c r="D80" s="2"/>
      <c r="E80" s="10"/>
      <c r="F80" s="2"/>
      <c r="G80" s="9"/>
      <c r="H80" s="2"/>
      <c r="I80" s="2"/>
      <c r="J80" s="2"/>
      <c r="K80" s="10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9"/>
      <c r="B81" s="2"/>
      <c r="C81" s="2"/>
      <c r="D81" s="2"/>
      <c r="E81" s="10"/>
      <c r="F81" s="2"/>
      <c r="G81" s="9"/>
      <c r="H81" s="2"/>
      <c r="I81" s="2"/>
      <c r="J81" s="2"/>
      <c r="K81" s="10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9"/>
      <c r="B82" s="2"/>
      <c r="C82" s="2"/>
      <c r="D82" s="2"/>
      <c r="E82" s="10"/>
      <c r="F82" s="2"/>
      <c r="G82" s="9"/>
      <c r="H82" s="2"/>
      <c r="I82" s="2"/>
      <c r="J82" s="2"/>
      <c r="K82" s="10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9"/>
      <c r="B83" s="2"/>
      <c r="C83" s="2"/>
      <c r="D83" s="2"/>
      <c r="E83" s="10"/>
      <c r="F83" s="2"/>
      <c r="G83" s="9"/>
      <c r="H83" s="2"/>
      <c r="I83" s="2"/>
      <c r="J83" s="2"/>
      <c r="K83" s="10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9"/>
      <c r="B84" s="2"/>
      <c r="C84" s="2"/>
      <c r="D84" s="2"/>
      <c r="E84" s="10"/>
      <c r="F84" s="2"/>
      <c r="G84" s="9"/>
      <c r="H84" s="2"/>
      <c r="I84" s="2"/>
      <c r="J84" s="2"/>
      <c r="K84" s="10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9"/>
      <c r="B85" s="2"/>
      <c r="C85" s="2"/>
      <c r="D85" s="2"/>
      <c r="E85" s="10"/>
      <c r="F85" s="2"/>
      <c r="G85" s="9"/>
      <c r="H85" s="2"/>
      <c r="I85" s="2"/>
      <c r="J85" s="2"/>
      <c r="K85" s="10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9"/>
      <c r="B86" s="2"/>
      <c r="C86" s="2"/>
      <c r="D86" s="2"/>
      <c r="E86" s="10"/>
      <c r="F86" s="2"/>
      <c r="G86" s="9"/>
      <c r="H86" s="2"/>
      <c r="I86" s="2"/>
      <c r="J86" s="2"/>
      <c r="K86" s="10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9"/>
      <c r="B87" s="2"/>
      <c r="C87" s="2"/>
      <c r="D87" s="2"/>
      <c r="E87" s="10"/>
      <c r="F87" s="2"/>
      <c r="G87" s="9"/>
      <c r="H87" s="2"/>
      <c r="I87" s="2"/>
      <c r="J87" s="2"/>
      <c r="K87" s="10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9"/>
      <c r="B88" s="2"/>
      <c r="C88" s="2"/>
      <c r="D88" s="2"/>
      <c r="E88" s="10"/>
      <c r="F88" s="2"/>
      <c r="G88" s="9"/>
      <c r="H88" s="2"/>
      <c r="I88" s="2"/>
      <c r="J88" s="2"/>
      <c r="K88" s="10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9"/>
      <c r="B89" s="2"/>
      <c r="C89" s="2"/>
      <c r="D89" s="2"/>
      <c r="E89" s="10"/>
      <c r="F89" s="2"/>
      <c r="G89" s="9"/>
      <c r="H89" s="2"/>
      <c r="I89" s="2"/>
      <c r="J89" s="2"/>
      <c r="K89" s="10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9"/>
      <c r="B90" s="2"/>
      <c r="C90" s="2"/>
      <c r="D90" s="2"/>
      <c r="E90" s="10"/>
      <c r="F90" s="2"/>
      <c r="G90" s="9"/>
      <c r="H90" s="2"/>
      <c r="I90" s="2"/>
      <c r="J90" s="2"/>
      <c r="K90" s="10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9"/>
      <c r="B91" s="2"/>
      <c r="C91" s="2"/>
      <c r="D91" s="2"/>
      <c r="E91" s="10"/>
      <c r="F91" s="2"/>
      <c r="G91" s="9"/>
      <c r="H91" s="2"/>
      <c r="I91" s="2"/>
      <c r="J91" s="2"/>
      <c r="K91" s="10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9"/>
      <c r="B92" s="2"/>
      <c r="C92" s="2"/>
      <c r="D92" s="2"/>
      <c r="E92" s="10"/>
      <c r="F92" s="2"/>
      <c r="G92" s="9"/>
      <c r="H92" s="2"/>
      <c r="I92" s="2"/>
      <c r="J92" s="2"/>
      <c r="K92" s="10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9"/>
      <c r="B93" s="2"/>
      <c r="C93" s="2"/>
      <c r="D93" s="2"/>
      <c r="E93" s="10"/>
      <c r="F93" s="2"/>
      <c r="G93" s="9"/>
      <c r="H93" s="2"/>
      <c r="I93" s="2"/>
      <c r="J93" s="2"/>
      <c r="K93" s="10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9"/>
      <c r="B94" s="2"/>
      <c r="C94" s="2"/>
      <c r="D94" s="2"/>
      <c r="E94" s="10"/>
      <c r="F94" s="2"/>
      <c r="G94" s="9"/>
      <c r="H94" s="2"/>
      <c r="I94" s="2"/>
      <c r="J94" s="2"/>
      <c r="K94" s="10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9"/>
      <c r="B95" s="2"/>
      <c r="C95" s="2"/>
      <c r="D95" s="2"/>
      <c r="E95" s="10"/>
      <c r="F95" s="2"/>
      <c r="G95" s="9"/>
      <c r="H95" s="2"/>
      <c r="I95" s="2"/>
      <c r="J95" s="2"/>
      <c r="K95" s="10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9"/>
      <c r="B96" s="2"/>
      <c r="C96" s="2"/>
      <c r="D96" s="2"/>
      <c r="E96" s="10"/>
      <c r="F96" s="2"/>
      <c r="G96" s="9"/>
      <c r="H96" s="2"/>
      <c r="I96" s="2"/>
      <c r="J96" s="2"/>
      <c r="K96" s="10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9"/>
      <c r="B97" s="2"/>
      <c r="C97" s="2"/>
      <c r="D97" s="2"/>
      <c r="E97" s="10"/>
      <c r="F97" s="2"/>
      <c r="G97" s="9"/>
      <c r="H97" s="2"/>
      <c r="I97" s="2"/>
      <c r="J97" s="2"/>
      <c r="K97" s="10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9"/>
      <c r="B98" s="2"/>
      <c r="C98" s="2"/>
      <c r="D98" s="2"/>
      <c r="E98" s="10"/>
      <c r="F98" s="2"/>
      <c r="G98" s="9"/>
      <c r="H98" s="2"/>
      <c r="I98" s="2"/>
      <c r="J98" s="2"/>
      <c r="K98" s="10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9"/>
      <c r="B99" s="2"/>
      <c r="C99" s="2"/>
      <c r="D99" s="2"/>
      <c r="E99" s="10"/>
      <c r="F99" s="2"/>
      <c r="G99" s="9"/>
      <c r="H99" s="2"/>
      <c r="I99" s="2"/>
      <c r="J99" s="2"/>
      <c r="K99" s="10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9"/>
      <c r="B100" s="2"/>
      <c r="C100" s="2"/>
      <c r="D100" s="2"/>
      <c r="E100" s="10"/>
      <c r="F100" s="2"/>
      <c r="G100" s="9"/>
      <c r="H100" s="2"/>
      <c r="I100" s="2"/>
      <c r="J100" s="2"/>
      <c r="K100" s="1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9"/>
      <c r="B101" s="2"/>
      <c r="C101" s="2"/>
      <c r="D101" s="2"/>
      <c r="E101" s="10"/>
      <c r="F101" s="2"/>
      <c r="G101" s="9"/>
      <c r="H101" s="2"/>
      <c r="I101" s="2"/>
      <c r="J101" s="2"/>
      <c r="K101" s="10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9"/>
      <c r="B102" s="2"/>
      <c r="C102" s="2"/>
      <c r="D102" s="2"/>
      <c r="E102" s="10"/>
      <c r="F102" s="2"/>
      <c r="G102" s="9"/>
      <c r="H102" s="2"/>
      <c r="I102" s="2"/>
      <c r="J102" s="2"/>
      <c r="K102" s="10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9"/>
      <c r="B103" s="2"/>
      <c r="C103" s="2"/>
      <c r="D103" s="2"/>
      <c r="E103" s="10"/>
      <c r="F103" s="2"/>
      <c r="G103" s="9"/>
      <c r="H103" s="2"/>
      <c r="I103" s="2"/>
      <c r="J103" s="2"/>
      <c r="K103" s="10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9"/>
      <c r="B104" s="2"/>
      <c r="C104" s="2"/>
      <c r="D104" s="2"/>
      <c r="E104" s="10"/>
      <c r="F104" s="2"/>
      <c r="G104" s="9"/>
      <c r="H104" s="2"/>
      <c r="I104" s="2"/>
      <c r="J104" s="2"/>
      <c r="K104" s="10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9"/>
      <c r="B105" s="2"/>
      <c r="C105" s="2"/>
      <c r="D105" s="2"/>
      <c r="E105" s="10"/>
      <c r="F105" s="2"/>
      <c r="G105" s="9"/>
      <c r="H105" s="2"/>
      <c r="I105" s="2"/>
      <c r="J105" s="2"/>
      <c r="K105" s="10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9"/>
      <c r="B106" s="2"/>
      <c r="C106" s="2"/>
      <c r="D106" s="2"/>
      <c r="E106" s="10"/>
      <c r="F106" s="2"/>
      <c r="G106" s="9"/>
      <c r="H106" s="2"/>
      <c r="I106" s="2"/>
      <c r="J106" s="2"/>
      <c r="K106" s="10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9"/>
      <c r="B107" s="2"/>
      <c r="C107" s="2"/>
      <c r="D107" s="2"/>
      <c r="E107" s="10"/>
      <c r="F107" s="2"/>
      <c r="G107" s="9"/>
      <c r="H107" s="2"/>
      <c r="I107" s="2"/>
      <c r="J107" s="2"/>
      <c r="K107" s="10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9"/>
      <c r="B108" s="2"/>
      <c r="C108" s="2"/>
      <c r="D108" s="2"/>
      <c r="E108" s="10"/>
      <c r="F108" s="2"/>
      <c r="G108" s="9"/>
      <c r="H108" s="2"/>
      <c r="I108" s="2"/>
      <c r="J108" s="2"/>
      <c r="K108" s="10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9"/>
      <c r="B109" s="2"/>
      <c r="C109" s="2"/>
      <c r="D109" s="2"/>
      <c r="E109" s="10"/>
      <c r="F109" s="2"/>
      <c r="G109" s="9"/>
      <c r="H109" s="2"/>
      <c r="I109" s="2"/>
      <c r="J109" s="2"/>
      <c r="K109" s="10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9"/>
      <c r="B110" s="2"/>
      <c r="C110" s="2"/>
      <c r="D110" s="2"/>
      <c r="E110" s="10"/>
      <c r="F110" s="2"/>
      <c r="G110" s="9"/>
      <c r="H110" s="2"/>
      <c r="I110" s="2"/>
      <c r="J110" s="2"/>
      <c r="K110" s="10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9"/>
      <c r="B111" s="2"/>
      <c r="C111" s="2"/>
      <c r="D111" s="2"/>
      <c r="E111" s="10"/>
      <c r="F111" s="2"/>
      <c r="G111" s="9"/>
      <c r="H111" s="2"/>
      <c r="I111" s="2"/>
      <c r="J111" s="2"/>
      <c r="K111" s="10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9"/>
      <c r="B112" s="2"/>
      <c r="C112" s="2"/>
      <c r="D112" s="2"/>
      <c r="E112" s="10"/>
      <c r="F112" s="2"/>
      <c r="G112" s="9"/>
      <c r="H112" s="2"/>
      <c r="I112" s="2"/>
      <c r="J112" s="2"/>
      <c r="K112" s="10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9"/>
      <c r="B113" s="2"/>
      <c r="C113" s="2"/>
      <c r="D113" s="2"/>
      <c r="E113" s="10"/>
      <c r="F113" s="2"/>
      <c r="G113" s="9"/>
      <c r="H113" s="2"/>
      <c r="I113" s="2"/>
      <c r="J113" s="2"/>
      <c r="K113" s="10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9"/>
      <c r="B114" s="2"/>
      <c r="C114" s="2"/>
      <c r="D114" s="2"/>
      <c r="E114" s="10"/>
      <c r="F114" s="2"/>
      <c r="G114" s="9"/>
      <c r="H114" s="2"/>
      <c r="I114" s="2"/>
      <c r="J114" s="2"/>
      <c r="K114" s="10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9"/>
      <c r="B115" s="2"/>
      <c r="C115" s="2"/>
      <c r="D115" s="2"/>
      <c r="E115" s="10"/>
      <c r="F115" s="2"/>
      <c r="G115" s="9"/>
      <c r="H115" s="2"/>
      <c r="I115" s="2"/>
      <c r="J115" s="2"/>
      <c r="K115" s="10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9"/>
      <c r="B116" s="2"/>
      <c r="C116" s="2"/>
      <c r="D116" s="2"/>
      <c r="E116" s="10"/>
      <c r="F116" s="2"/>
      <c r="G116" s="9"/>
      <c r="H116" s="2"/>
      <c r="I116" s="2"/>
      <c r="J116" s="2"/>
      <c r="K116" s="10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9"/>
      <c r="B117" s="2"/>
      <c r="C117" s="2"/>
      <c r="D117" s="2"/>
      <c r="E117" s="10"/>
      <c r="F117" s="2"/>
      <c r="G117" s="9"/>
      <c r="H117" s="2"/>
      <c r="I117" s="2"/>
      <c r="J117" s="2"/>
      <c r="K117" s="10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9"/>
      <c r="B118" s="2"/>
      <c r="C118" s="2"/>
      <c r="D118" s="2"/>
      <c r="E118" s="10"/>
      <c r="F118" s="2"/>
      <c r="G118" s="9"/>
      <c r="H118" s="2"/>
      <c r="I118" s="2"/>
      <c r="J118" s="2"/>
      <c r="K118" s="10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9"/>
      <c r="B119" s="2"/>
      <c r="C119" s="2"/>
      <c r="D119" s="2"/>
      <c r="E119" s="10"/>
      <c r="F119" s="2"/>
      <c r="G119" s="9"/>
      <c r="H119" s="2"/>
      <c r="I119" s="2"/>
      <c r="J119" s="2"/>
      <c r="K119" s="10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9"/>
      <c r="B120" s="2"/>
      <c r="C120" s="2"/>
      <c r="D120" s="2"/>
      <c r="E120" s="10"/>
      <c r="F120" s="2"/>
      <c r="G120" s="9"/>
      <c r="H120" s="2"/>
      <c r="I120" s="2"/>
      <c r="J120" s="2"/>
      <c r="K120" s="10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9"/>
      <c r="B121" s="2"/>
      <c r="C121" s="2"/>
      <c r="D121" s="2"/>
      <c r="E121" s="10"/>
      <c r="F121" s="2"/>
      <c r="G121" s="9"/>
      <c r="H121" s="2"/>
      <c r="I121" s="2"/>
      <c r="J121" s="2"/>
      <c r="K121" s="10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9"/>
      <c r="B122" s="2"/>
      <c r="C122" s="2"/>
      <c r="D122" s="2"/>
      <c r="E122" s="10"/>
      <c r="F122" s="2"/>
      <c r="G122" s="9"/>
      <c r="H122" s="2"/>
      <c r="I122" s="2"/>
      <c r="J122" s="2"/>
      <c r="K122" s="10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9"/>
      <c r="B123" s="2"/>
      <c r="C123" s="2"/>
      <c r="D123" s="2"/>
      <c r="E123" s="10"/>
      <c r="F123" s="2"/>
      <c r="G123" s="9"/>
      <c r="H123" s="2"/>
      <c r="I123" s="2"/>
      <c r="J123" s="2"/>
      <c r="K123" s="10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9"/>
      <c r="B124" s="2"/>
      <c r="C124" s="2"/>
      <c r="D124" s="2"/>
      <c r="E124" s="10"/>
      <c r="F124" s="2"/>
      <c r="G124" s="9"/>
      <c r="H124" s="2"/>
      <c r="I124" s="2"/>
      <c r="J124" s="2"/>
      <c r="K124" s="10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9"/>
      <c r="B125" s="2"/>
      <c r="C125" s="2"/>
      <c r="D125" s="2"/>
      <c r="E125" s="10"/>
      <c r="F125" s="2"/>
      <c r="G125" s="9"/>
      <c r="H125" s="2"/>
      <c r="I125" s="2"/>
      <c r="J125" s="2"/>
      <c r="K125" s="10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9"/>
      <c r="B126" s="2"/>
      <c r="C126" s="2"/>
      <c r="D126" s="2"/>
      <c r="E126" s="10"/>
      <c r="F126" s="2"/>
      <c r="G126" s="9"/>
      <c r="H126" s="2"/>
      <c r="I126" s="2"/>
      <c r="J126" s="2"/>
      <c r="K126" s="10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9"/>
      <c r="B127" s="2"/>
      <c r="C127" s="2"/>
      <c r="D127" s="2"/>
      <c r="E127" s="10"/>
      <c r="F127" s="2"/>
      <c r="G127" s="9"/>
      <c r="H127" s="2"/>
      <c r="I127" s="2"/>
      <c r="J127" s="2"/>
      <c r="K127" s="10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9"/>
      <c r="B128" s="2"/>
      <c r="C128" s="2"/>
      <c r="D128" s="2"/>
      <c r="E128" s="10"/>
      <c r="F128" s="2"/>
      <c r="G128" s="9"/>
      <c r="H128" s="2"/>
      <c r="I128" s="2"/>
      <c r="J128" s="2"/>
      <c r="K128" s="10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9"/>
      <c r="B129" s="2"/>
      <c r="C129" s="2"/>
      <c r="D129" s="2"/>
      <c r="E129" s="10"/>
      <c r="F129" s="2"/>
      <c r="G129" s="9"/>
      <c r="H129" s="2"/>
      <c r="I129" s="2"/>
      <c r="J129" s="2"/>
      <c r="K129" s="10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9"/>
      <c r="B130" s="2"/>
      <c r="C130" s="2"/>
      <c r="D130" s="2"/>
      <c r="E130" s="10"/>
      <c r="F130" s="2"/>
      <c r="G130" s="9"/>
      <c r="H130" s="2"/>
      <c r="I130" s="2"/>
      <c r="J130" s="2"/>
      <c r="K130" s="10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9"/>
      <c r="B131" s="2"/>
      <c r="C131" s="2"/>
      <c r="D131" s="2"/>
      <c r="E131" s="10"/>
      <c r="F131" s="2"/>
      <c r="G131" s="9"/>
      <c r="H131" s="2"/>
      <c r="I131" s="2"/>
      <c r="J131" s="2"/>
      <c r="K131" s="10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9"/>
      <c r="B132" s="2"/>
      <c r="C132" s="2"/>
      <c r="D132" s="2"/>
      <c r="E132" s="10"/>
      <c r="F132" s="2"/>
      <c r="G132" s="9"/>
      <c r="H132" s="2"/>
      <c r="I132" s="2"/>
      <c r="J132" s="2"/>
      <c r="K132" s="10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9"/>
      <c r="B133" s="2"/>
      <c r="C133" s="2"/>
      <c r="D133" s="2"/>
      <c r="E133" s="10"/>
      <c r="F133" s="2"/>
      <c r="G133" s="9"/>
      <c r="H133" s="2"/>
      <c r="I133" s="2"/>
      <c r="J133" s="2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9"/>
      <c r="B134" s="2"/>
      <c r="C134" s="2"/>
      <c r="D134" s="2"/>
      <c r="E134" s="10"/>
      <c r="F134" s="2"/>
      <c r="G134" s="9"/>
      <c r="H134" s="2"/>
      <c r="I134" s="2"/>
      <c r="J134" s="2"/>
      <c r="K134" s="10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9"/>
      <c r="B135" s="2"/>
      <c r="C135" s="2"/>
      <c r="D135" s="2"/>
      <c r="E135" s="10"/>
      <c r="F135" s="2"/>
      <c r="G135" s="9"/>
      <c r="H135" s="2"/>
      <c r="I135" s="2"/>
      <c r="J135" s="2"/>
      <c r="K135" s="10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9"/>
      <c r="B136" s="2"/>
      <c r="C136" s="2"/>
      <c r="D136" s="2"/>
      <c r="E136" s="10"/>
      <c r="F136" s="2"/>
      <c r="G136" s="9"/>
      <c r="H136" s="2"/>
      <c r="I136" s="2"/>
      <c r="J136" s="2"/>
      <c r="K136" s="10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9"/>
      <c r="B137" s="2"/>
      <c r="C137" s="2"/>
      <c r="D137" s="2"/>
      <c r="E137" s="10"/>
      <c r="F137" s="2"/>
      <c r="G137" s="9"/>
      <c r="H137" s="2"/>
      <c r="I137" s="2"/>
      <c r="J137" s="2"/>
      <c r="K137" s="10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9"/>
      <c r="B138" s="2"/>
      <c r="C138" s="2"/>
      <c r="D138" s="2"/>
      <c r="E138" s="10"/>
      <c r="F138" s="2"/>
      <c r="G138" s="9"/>
      <c r="H138" s="2"/>
      <c r="I138" s="2"/>
      <c r="J138" s="2"/>
      <c r="K138" s="10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9"/>
      <c r="B139" s="2"/>
      <c r="C139" s="2"/>
      <c r="D139" s="2"/>
      <c r="E139" s="10"/>
      <c r="F139" s="2"/>
      <c r="G139" s="9"/>
      <c r="H139" s="2"/>
      <c r="I139" s="2"/>
      <c r="J139" s="2"/>
      <c r="K139" s="10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9"/>
      <c r="B140" s="2"/>
      <c r="C140" s="2"/>
      <c r="D140" s="2"/>
      <c r="E140" s="10"/>
      <c r="F140" s="2"/>
      <c r="G140" s="9"/>
      <c r="H140" s="2"/>
      <c r="I140" s="2"/>
      <c r="J140" s="2"/>
      <c r="K140" s="10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9"/>
      <c r="B141" s="2"/>
      <c r="C141" s="2"/>
      <c r="D141" s="2"/>
      <c r="E141" s="10"/>
      <c r="F141" s="2"/>
      <c r="G141" s="9"/>
      <c r="H141" s="2"/>
      <c r="I141" s="2"/>
      <c r="J141" s="2"/>
      <c r="K141" s="10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9"/>
      <c r="B142" s="2"/>
      <c r="C142" s="2"/>
      <c r="D142" s="2"/>
      <c r="E142" s="10"/>
      <c r="F142" s="2"/>
      <c r="G142" s="9"/>
      <c r="H142" s="2"/>
      <c r="I142" s="2"/>
      <c r="J142" s="2"/>
      <c r="K142" s="10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9"/>
      <c r="B143" s="2"/>
      <c r="C143" s="2"/>
      <c r="D143" s="2"/>
      <c r="E143" s="10"/>
      <c r="F143" s="2"/>
      <c r="G143" s="9"/>
      <c r="H143" s="2"/>
      <c r="I143" s="2"/>
      <c r="J143" s="2"/>
      <c r="K143" s="10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9"/>
      <c r="B144" s="2"/>
      <c r="C144" s="2"/>
      <c r="D144" s="2"/>
      <c r="E144" s="10"/>
      <c r="F144" s="2"/>
      <c r="G144" s="9"/>
      <c r="H144" s="2"/>
      <c r="I144" s="2"/>
      <c r="J144" s="2"/>
      <c r="K144" s="10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9"/>
      <c r="B145" s="2"/>
      <c r="C145" s="2"/>
      <c r="D145" s="2"/>
      <c r="E145" s="10"/>
      <c r="F145" s="2"/>
      <c r="G145" s="9"/>
      <c r="H145" s="2"/>
      <c r="I145" s="2"/>
      <c r="J145" s="2"/>
      <c r="K145" s="10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9"/>
      <c r="B146" s="2"/>
      <c r="C146" s="2"/>
      <c r="D146" s="2"/>
      <c r="E146" s="10"/>
      <c r="F146" s="2"/>
      <c r="G146" s="9"/>
      <c r="H146" s="2"/>
      <c r="I146" s="2"/>
      <c r="J146" s="2"/>
      <c r="K146" s="10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9"/>
      <c r="B147" s="2"/>
      <c r="C147" s="2"/>
      <c r="D147" s="2"/>
      <c r="E147" s="10"/>
      <c r="F147" s="2"/>
      <c r="G147" s="9"/>
      <c r="H147" s="2"/>
      <c r="I147" s="2"/>
      <c r="J147" s="2"/>
      <c r="K147" s="10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9"/>
      <c r="B148" s="2"/>
      <c r="C148" s="2"/>
      <c r="D148" s="2"/>
      <c r="E148" s="10"/>
      <c r="F148" s="2"/>
      <c r="G148" s="9"/>
      <c r="H148" s="2"/>
      <c r="I148" s="2"/>
      <c r="J148" s="2"/>
      <c r="K148" s="10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9"/>
      <c r="B149" s="2"/>
      <c r="C149" s="2"/>
      <c r="D149" s="2"/>
      <c r="E149" s="10"/>
      <c r="F149" s="2"/>
      <c r="G149" s="9"/>
      <c r="H149" s="2"/>
      <c r="I149" s="2"/>
      <c r="J149" s="2"/>
      <c r="K149" s="10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9"/>
      <c r="B150" s="2"/>
      <c r="C150" s="2"/>
      <c r="D150" s="2"/>
      <c r="E150" s="10"/>
      <c r="F150" s="2"/>
      <c r="G150" s="9"/>
      <c r="H150" s="2"/>
      <c r="I150" s="2"/>
      <c r="J150" s="2"/>
      <c r="K150" s="10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9"/>
      <c r="B151" s="2"/>
      <c r="C151" s="2"/>
      <c r="D151" s="2"/>
      <c r="E151" s="10"/>
      <c r="F151" s="2"/>
      <c r="G151" s="9"/>
      <c r="H151" s="2"/>
      <c r="I151" s="2"/>
      <c r="J151" s="2"/>
      <c r="K151" s="10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9"/>
      <c r="B152" s="2"/>
      <c r="C152" s="2"/>
      <c r="D152" s="2"/>
      <c r="E152" s="10"/>
      <c r="F152" s="2"/>
      <c r="G152" s="9"/>
      <c r="H152" s="2"/>
      <c r="I152" s="2"/>
      <c r="J152" s="2"/>
      <c r="K152" s="10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9"/>
      <c r="B153" s="2"/>
      <c r="C153" s="2"/>
      <c r="D153" s="2"/>
      <c r="E153" s="10"/>
      <c r="F153" s="2"/>
      <c r="G153" s="9"/>
      <c r="H153" s="2"/>
      <c r="I153" s="2"/>
      <c r="J153" s="2"/>
      <c r="K153" s="10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9"/>
      <c r="B154" s="2"/>
      <c r="C154" s="2"/>
      <c r="D154" s="2"/>
      <c r="E154" s="10"/>
      <c r="F154" s="2"/>
      <c r="G154" s="9"/>
      <c r="H154" s="2"/>
      <c r="I154" s="2"/>
      <c r="J154" s="2"/>
      <c r="K154" s="10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9"/>
      <c r="B155" s="2"/>
      <c r="C155" s="2"/>
      <c r="D155" s="2"/>
      <c r="E155" s="10"/>
      <c r="F155" s="2"/>
      <c r="G155" s="9"/>
      <c r="H155" s="2"/>
      <c r="I155" s="2"/>
      <c r="J155" s="2"/>
      <c r="K155" s="10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9"/>
      <c r="B156" s="2"/>
      <c r="C156" s="2"/>
      <c r="D156" s="2"/>
      <c r="E156" s="10"/>
      <c r="F156" s="2"/>
      <c r="G156" s="9"/>
      <c r="H156" s="2"/>
      <c r="I156" s="2"/>
      <c r="J156" s="2"/>
      <c r="K156" s="10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9"/>
      <c r="B157" s="2"/>
      <c r="C157" s="2"/>
      <c r="D157" s="2"/>
      <c r="E157" s="10"/>
      <c r="F157" s="2"/>
      <c r="G157" s="9"/>
      <c r="H157" s="2"/>
      <c r="I157" s="2"/>
      <c r="J157" s="2"/>
      <c r="K157" s="10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9"/>
      <c r="B158" s="2"/>
      <c r="C158" s="2"/>
      <c r="D158" s="2"/>
      <c r="E158" s="10"/>
      <c r="F158" s="2"/>
      <c r="G158" s="9"/>
      <c r="H158" s="2"/>
      <c r="I158" s="2"/>
      <c r="J158" s="2"/>
      <c r="K158" s="10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9"/>
      <c r="B159" s="2"/>
      <c r="C159" s="2"/>
      <c r="D159" s="2"/>
      <c r="E159" s="10"/>
      <c r="F159" s="2"/>
      <c r="G159" s="9"/>
      <c r="H159" s="2"/>
      <c r="I159" s="2"/>
      <c r="J159" s="2"/>
      <c r="K159" s="10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9"/>
      <c r="B160" s="2"/>
      <c r="C160" s="2"/>
      <c r="D160" s="2"/>
      <c r="E160" s="10"/>
      <c r="F160" s="2"/>
      <c r="G160" s="9"/>
      <c r="H160" s="2"/>
      <c r="I160" s="2"/>
      <c r="J160" s="2"/>
      <c r="K160" s="10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9"/>
      <c r="B161" s="2"/>
      <c r="C161" s="2"/>
      <c r="D161" s="2"/>
      <c r="E161" s="10"/>
      <c r="F161" s="2"/>
      <c r="G161" s="9"/>
      <c r="H161" s="2"/>
      <c r="I161" s="2"/>
      <c r="J161" s="2"/>
      <c r="K161" s="10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9"/>
      <c r="B162" s="2"/>
      <c r="C162" s="2"/>
      <c r="D162" s="2"/>
      <c r="E162" s="10"/>
      <c r="F162" s="2"/>
      <c r="G162" s="9"/>
      <c r="H162" s="2"/>
      <c r="I162" s="2"/>
      <c r="J162" s="2"/>
      <c r="K162" s="10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9"/>
      <c r="B163" s="2"/>
      <c r="C163" s="2"/>
      <c r="D163" s="2"/>
      <c r="E163" s="10"/>
      <c r="F163" s="2"/>
      <c r="G163" s="9"/>
      <c r="H163" s="2"/>
      <c r="I163" s="2"/>
      <c r="J163" s="2"/>
      <c r="K163" s="10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9"/>
      <c r="B164" s="2"/>
      <c r="C164" s="2"/>
      <c r="D164" s="2"/>
      <c r="E164" s="10"/>
      <c r="F164" s="2"/>
      <c r="G164" s="9"/>
      <c r="H164" s="2"/>
      <c r="I164" s="2"/>
      <c r="J164" s="2"/>
      <c r="K164" s="10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9"/>
      <c r="B165" s="2"/>
      <c r="C165" s="2"/>
      <c r="D165" s="2"/>
      <c r="E165" s="10"/>
      <c r="F165" s="2"/>
      <c r="G165" s="9"/>
      <c r="H165" s="2"/>
      <c r="I165" s="2"/>
      <c r="J165" s="2"/>
      <c r="K165" s="10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9"/>
      <c r="B166" s="2"/>
      <c r="C166" s="2"/>
      <c r="D166" s="2"/>
      <c r="E166" s="10"/>
      <c r="F166" s="2"/>
      <c r="G166" s="9"/>
      <c r="H166" s="2"/>
      <c r="I166" s="2"/>
      <c r="J166" s="2"/>
      <c r="K166" s="10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9"/>
      <c r="B167" s="2"/>
      <c r="C167" s="2"/>
      <c r="D167" s="2"/>
      <c r="E167" s="10"/>
      <c r="F167" s="2"/>
      <c r="G167" s="9"/>
      <c r="H167" s="2"/>
      <c r="I167" s="2"/>
      <c r="J167" s="2"/>
      <c r="K167" s="10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9"/>
      <c r="B168" s="2"/>
      <c r="C168" s="2"/>
      <c r="D168" s="2"/>
      <c r="E168" s="10"/>
      <c r="F168" s="2"/>
      <c r="G168" s="9"/>
      <c r="H168" s="2"/>
      <c r="I168" s="2"/>
      <c r="J168" s="2"/>
      <c r="K168" s="10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9"/>
      <c r="B169" s="2"/>
      <c r="C169" s="2"/>
      <c r="D169" s="2"/>
      <c r="E169" s="10"/>
      <c r="F169" s="2"/>
      <c r="G169" s="9"/>
      <c r="H169" s="2"/>
      <c r="I169" s="2"/>
      <c r="J169" s="2"/>
      <c r="K169" s="10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9"/>
      <c r="B170" s="2"/>
      <c r="C170" s="2"/>
      <c r="D170" s="2"/>
      <c r="E170" s="10"/>
      <c r="F170" s="2"/>
      <c r="G170" s="9"/>
      <c r="H170" s="2"/>
      <c r="I170" s="2"/>
      <c r="J170" s="2"/>
      <c r="K170" s="10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9"/>
      <c r="B171" s="2"/>
      <c r="C171" s="2"/>
      <c r="D171" s="2"/>
      <c r="E171" s="10"/>
      <c r="F171" s="2"/>
      <c r="G171" s="9"/>
      <c r="H171" s="2"/>
      <c r="I171" s="2"/>
      <c r="J171" s="2"/>
      <c r="K171" s="10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9"/>
      <c r="B172" s="2"/>
      <c r="C172" s="2"/>
      <c r="D172" s="2"/>
      <c r="E172" s="10"/>
      <c r="F172" s="2"/>
      <c r="G172" s="9"/>
      <c r="H172" s="2"/>
      <c r="I172" s="2"/>
      <c r="J172" s="2"/>
      <c r="K172" s="10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9"/>
      <c r="B173" s="2"/>
      <c r="C173" s="2"/>
      <c r="D173" s="2"/>
      <c r="E173" s="10"/>
      <c r="F173" s="2"/>
      <c r="G173" s="9"/>
      <c r="H173" s="2"/>
      <c r="I173" s="2"/>
      <c r="J173" s="2"/>
      <c r="K173" s="10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9"/>
      <c r="B174" s="2"/>
      <c r="C174" s="2"/>
      <c r="D174" s="2"/>
      <c r="E174" s="10"/>
      <c r="F174" s="2"/>
      <c r="G174" s="9"/>
      <c r="H174" s="2"/>
      <c r="I174" s="2"/>
      <c r="J174" s="2"/>
      <c r="K174" s="10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9"/>
      <c r="B175" s="2"/>
      <c r="C175" s="2"/>
      <c r="D175" s="2"/>
      <c r="E175" s="10"/>
      <c r="F175" s="2"/>
      <c r="G175" s="9"/>
      <c r="H175" s="2"/>
      <c r="I175" s="2"/>
      <c r="J175" s="2"/>
      <c r="K175" s="10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9"/>
      <c r="B176" s="2"/>
      <c r="C176" s="2"/>
      <c r="D176" s="2"/>
      <c r="E176" s="10"/>
      <c r="F176" s="2"/>
      <c r="G176" s="9"/>
      <c r="H176" s="2"/>
      <c r="I176" s="2"/>
      <c r="J176" s="2"/>
      <c r="K176" s="10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9"/>
      <c r="B177" s="2"/>
      <c r="C177" s="2"/>
      <c r="D177" s="2"/>
      <c r="E177" s="10"/>
      <c r="F177" s="2"/>
      <c r="G177" s="9"/>
      <c r="H177" s="2"/>
      <c r="I177" s="2"/>
      <c r="J177" s="2"/>
      <c r="K177" s="10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9"/>
      <c r="B178" s="2"/>
      <c r="C178" s="2"/>
      <c r="D178" s="2"/>
      <c r="E178" s="10"/>
      <c r="F178" s="2"/>
      <c r="G178" s="9"/>
      <c r="H178" s="2"/>
      <c r="I178" s="2"/>
      <c r="J178" s="2"/>
      <c r="K178" s="10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9"/>
      <c r="B179" s="2"/>
      <c r="C179" s="2"/>
      <c r="D179" s="2"/>
      <c r="E179" s="10"/>
      <c r="F179" s="2"/>
      <c r="G179" s="9"/>
      <c r="H179" s="2"/>
      <c r="I179" s="2"/>
      <c r="J179" s="2"/>
      <c r="K179" s="10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9"/>
      <c r="B180" s="2"/>
      <c r="C180" s="2"/>
      <c r="D180" s="2"/>
      <c r="E180" s="10"/>
      <c r="F180" s="2"/>
      <c r="G180" s="9"/>
      <c r="H180" s="2"/>
      <c r="I180" s="2"/>
      <c r="J180" s="2"/>
      <c r="K180" s="10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9"/>
      <c r="B181" s="2"/>
      <c r="C181" s="2"/>
      <c r="D181" s="2"/>
      <c r="E181" s="10"/>
      <c r="F181" s="2"/>
      <c r="G181" s="9"/>
      <c r="H181" s="2"/>
      <c r="I181" s="2"/>
      <c r="J181" s="2"/>
      <c r="K181" s="10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9"/>
      <c r="B182" s="2"/>
      <c r="C182" s="2"/>
      <c r="D182" s="2"/>
      <c r="E182" s="10"/>
      <c r="F182" s="2"/>
      <c r="G182" s="9"/>
      <c r="H182" s="2"/>
      <c r="I182" s="2"/>
      <c r="J182" s="2"/>
      <c r="K182" s="10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9"/>
      <c r="B183" s="2"/>
      <c r="C183" s="2"/>
      <c r="D183" s="2"/>
      <c r="E183" s="10"/>
      <c r="F183" s="2"/>
      <c r="G183" s="9"/>
      <c r="H183" s="2"/>
      <c r="I183" s="2"/>
      <c r="J183" s="2"/>
      <c r="K183" s="10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9"/>
      <c r="B184" s="2"/>
      <c r="C184" s="2"/>
      <c r="D184" s="2"/>
      <c r="E184" s="10"/>
      <c r="F184" s="2"/>
      <c r="G184" s="9"/>
      <c r="H184" s="2"/>
      <c r="I184" s="2"/>
      <c r="J184" s="2"/>
      <c r="K184" s="10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9"/>
      <c r="B185" s="2"/>
      <c r="C185" s="2"/>
      <c r="D185" s="2"/>
      <c r="E185" s="10"/>
      <c r="F185" s="2"/>
      <c r="G185" s="9"/>
      <c r="H185" s="2"/>
      <c r="I185" s="2"/>
      <c r="J185" s="2"/>
      <c r="K185" s="10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9"/>
      <c r="B186" s="2"/>
      <c r="C186" s="2"/>
      <c r="D186" s="2"/>
      <c r="E186" s="10"/>
      <c r="F186" s="2"/>
      <c r="G186" s="9"/>
      <c r="H186" s="2"/>
      <c r="I186" s="2"/>
      <c r="J186" s="2"/>
      <c r="K186" s="10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9"/>
      <c r="B187" s="2"/>
      <c r="C187" s="2"/>
      <c r="D187" s="2"/>
      <c r="E187" s="10"/>
      <c r="F187" s="2"/>
      <c r="G187" s="9"/>
      <c r="H187" s="2"/>
      <c r="I187" s="2"/>
      <c r="J187" s="2"/>
      <c r="K187" s="10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9"/>
      <c r="B188" s="2"/>
      <c r="C188" s="2"/>
      <c r="D188" s="2"/>
      <c r="E188" s="10"/>
      <c r="F188" s="2"/>
      <c r="G188" s="9"/>
      <c r="H188" s="2"/>
      <c r="I188" s="2"/>
      <c r="J188" s="2"/>
      <c r="K188" s="10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9"/>
      <c r="B189" s="2"/>
      <c r="C189" s="2"/>
      <c r="D189" s="2"/>
      <c r="E189" s="10"/>
      <c r="F189" s="2"/>
      <c r="G189" s="9"/>
      <c r="H189" s="2"/>
      <c r="I189" s="2"/>
      <c r="J189" s="2"/>
      <c r="K189" s="10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9"/>
      <c r="B190" s="2"/>
      <c r="C190" s="2"/>
      <c r="D190" s="2"/>
      <c r="E190" s="10"/>
      <c r="F190" s="2"/>
      <c r="G190" s="9"/>
      <c r="H190" s="2"/>
      <c r="I190" s="2"/>
      <c r="J190" s="2"/>
      <c r="K190" s="10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9"/>
      <c r="B191" s="2"/>
      <c r="C191" s="2"/>
      <c r="D191" s="2"/>
      <c r="E191" s="10"/>
      <c r="F191" s="2"/>
      <c r="G191" s="9"/>
      <c r="H191" s="2"/>
      <c r="I191" s="2"/>
      <c r="J191" s="2"/>
      <c r="K191" s="10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9"/>
      <c r="B192" s="2"/>
      <c r="C192" s="2"/>
      <c r="D192" s="2"/>
      <c r="E192" s="10"/>
      <c r="F192" s="2"/>
      <c r="G192" s="9"/>
      <c r="H192" s="2"/>
      <c r="I192" s="2"/>
      <c r="J192" s="2"/>
      <c r="K192" s="10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9"/>
      <c r="B193" s="2"/>
      <c r="C193" s="2"/>
      <c r="D193" s="2"/>
      <c r="E193" s="10"/>
      <c r="F193" s="2"/>
      <c r="G193" s="9"/>
      <c r="H193" s="2"/>
      <c r="I193" s="2"/>
      <c r="J193" s="2"/>
      <c r="K193" s="10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9"/>
      <c r="B194" s="2"/>
      <c r="C194" s="2"/>
      <c r="D194" s="2"/>
      <c r="E194" s="10"/>
      <c r="F194" s="2"/>
      <c r="G194" s="9"/>
      <c r="H194" s="2"/>
      <c r="I194" s="2"/>
      <c r="J194" s="2"/>
      <c r="K194" s="10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9"/>
      <c r="B195" s="2"/>
      <c r="C195" s="2"/>
      <c r="D195" s="2"/>
      <c r="E195" s="10"/>
      <c r="F195" s="2"/>
      <c r="G195" s="9"/>
      <c r="H195" s="2"/>
      <c r="I195" s="2"/>
      <c r="J195" s="2"/>
      <c r="K195" s="10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9"/>
      <c r="B196" s="2"/>
      <c r="C196" s="2"/>
      <c r="D196" s="2"/>
      <c r="E196" s="10"/>
      <c r="F196" s="2"/>
      <c r="G196" s="9"/>
      <c r="H196" s="2"/>
      <c r="I196" s="2"/>
      <c r="J196" s="2"/>
      <c r="K196" s="10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9"/>
      <c r="B197" s="2"/>
      <c r="C197" s="2"/>
      <c r="D197" s="2"/>
      <c r="E197" s="10"/>
      <c r="F197" s="2"/>
      <c r="G197" s="9"/>
      <c r="H197" s="2"/>
      <c r="I197" s="2"/>
      <c r="J197" s="2"/>
      <c r="K197" s="10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9"/>
      <c r="B198" s="2"/>
      <c r="C198" s="2"/>
      <c r="D198" s="2"/>
      <c r="E198" s="10"/>
      <c r="F198" s="2"/>
      <c r="G198" s="9"/>
      <c r="H198" s="2"/>
      <c r="I198" s="2"/>
      <c r="J198" s="2"/>
      <c r="K198" s="10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9"/>
      <c r="B199" s="2"/>
      <c r="C199" s="2"/>
      <c r="D199" s="2"/>
      <c r="E199" s="10"/>
      <c r="F199" s="2"/>
      <c r="G199" s="9"/>
      <c r="H199" s="2"/>
      <c r="I199" s="2"/>
      <c r="J199" s="2"/>
      <c r="K199" s="10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9"/>
      <c r="B200" s="2"/>
      <c r="C200" s="2"/>
      <c r="D200" s="2"/>
      <c r="E200" s="10"/>
      <c r="F200" s="2"/>
      <c r="G200" s="9"/>
      <c r="H200" s="2"/>
      <c r="I200" s="2"/>
      <c r="J200" s="2"/>
      <c r="K200" s="10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8:K8"/>
  </mergeCells>
  <dataValidations count="3">
    <dataValidation type="list" sqref="C4:C200" xr:uid="{00000000-0002-0000-0500-000000000000}">
      <formula1>"L,P"</formula1>
    </dataValidation>
    <dataValidation type="list" sqref="H4:H200" xr:uid="{00000000-0002-0000-0500-000001000000}">
      <formula1>"HK,KP,KS"</formula1>
    </dataValidation>
    <dataValidation type="list" sqref="L4:L200" xr:uid="{00000000-0002-0000-0500-000002000000}">
      <formula1>"Aktif,Tidak Aktif"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>
      <selection sqref="A1:K1"/>
    </sheetView>
  </sheetViews>
  <sheetFormatPr defaultRowHeight="14"/>
  <cols>
    <col min="1" max="1" width="22" customWidth="1"/>
    <col min="2" max="4" width="18" customWidth="1"/>
    <col min="5" max="5" width="24" customWidth="1"/>
    <col min="6" max="6" width="42" customWidth="1"/>
  </cols>
  <sheetData>
    <row r="1" spans="1:26" ht="16" customHeight="1">
      <c r="A1" s="18" t="s">
        <v>131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26" ht="22.65" customHeight="1">
      <c r="A3" s="5" t="s">
        <v>107</v>
      </c>
      <c r="B3" s="5" t="s">
        <v>94</v>
      </c>
      <c r="C3" s="5" t="s">
        <v>132</v>
      </c>
      <c r="D3" s="5" t="s">
        <v>133</v>
      </c>
      <c r="E3" s="5" t="s">
        <v>134</v>
      </c>
      <c r="F3" s="5" t="s">
        <v>85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 t="s">
        <v>115</v>
      </c>
      <c r="B4" s="6" t="s">
        <v>65</v>
      </c>
      <c r="C4" s="8">
        <v>44562</v>
      </c>
      <c r="D4" s="8"/>
      <c r="E4" s="6" t="s">
        <v>135</v>
      </c>
      <c r="F4" s="6" t="s">
        <v>136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 t="s">
        <v>120</v>
      </c>
      <c r="B5" s="6" t="s">
        <v>99</v>
      </c>
      <c r="C5" s="8">
        <v>44348</v>
      </c>
      <c r="D5" s="8"/>
      <c r="E5" s="6" t="s">
        <v>135</v>
      </c>
      <c r="F5" s="6" t="s">
        <v>136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 t="s">
        <v>125</v>
      </c>
      <c r="B6" s="6" t="s">
        <v>102</v>
      </c>
      <c r="C6" s="8">
        <v>44013</v>
      </c>
      <c r="D6" s="8"/>
      <c r="E6" s="6" t="s">
        <v>135</v>
      </c>
      <c r="F6" s="6" t="s">
        <v>136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9"/>
      <c r="B7" s="2"/>
      <c r="C7" s="10"/>
      <c r="D7" s="1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" customHeight="1">
      <c r="A8" s="22" t="s">
        <v>137</v>
      </c>
      <c r="B8" s="21"/>
      <c r="C8" s="23"/>
      <c r="D8" s="23"/>
      <c r="E8" s="21"/>
      <c r="F8" s="21"/>
      <c r="G8" s="21"/>
      <c r="H8" s="21"/>
      <c r="I8" s="21"/>
      <c r="J8" s="21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/>
      <c r="B9" s="2"/>
      <c r="C9" s="10"/>
      <c r="D9" s="1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9"/>
      <c r="B10" s="2"/>
      <c r="C10" s="10"/>
      <c r="D10" s="1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9"/>
      <c r="B11" s="2"/>
      <c r="C11" s="10"/>
      <c r="D11" s="1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9"/>
      <c r="B12" s="2"/>
      <c r="C12" s="10"/>
      <c r="D12" s="1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9"/>
      <c r="B13" s="2"/>
      <c r="C13" s="10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/>
      <c r="B14" s="2"/>
      <c r="C14" s="10"/>
      <c r="D14" s="1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/>
      <c r="B15" s="2"/>
      <c r="C15" s="10"/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9"/>
      <c r="B16" s="2"/>
      <c r="C16" s="10"/>
      <c r="D16" s="1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9"/>
      <c r="B17" s="2"/>
      <c r="C17" s="10"/>
      <c r="D17" s="1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9"/>
      <c r="B18" s="2"/>
      <c r="C18" s="10"/>
      <c r="D18" s="1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9"/>
      <c r="B19" s="2"/>
      <c r="C19" s="10"/>
      <c r="D19" s="1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9"/>
      <c r="B20" s="2"/>
      <c r="C20" s="10"/>
      <c r="D20" s="1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9"/>
      <c r="B21" s="2"/>
      <c r="C21" s="10"/>
      <c r="D21" s="1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9"/>
      <c r="B22" s="2"/>
      <c r="C22" s="10"/>
      <c r="D22" s="1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9"/>
      <c r="B23" s="2"/>
      <c r="C23" s="10"/>
      <c r="D23" s="1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9"/>
      <c r="B24" s="2"/>
      <c r="C24" s="10"/>
      <c r="D24" s="1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9"/>
      <c r="B25" s="2"/>
      <c r="C25" s="10"/>
      <c r="D25" s="1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9"/>
      <c r="B26" s="2"/>
      <c r="C26" s="10"/>
      <c r="D26" s="1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9"/>
      <c r="B27" s="2"/>
      <c r="C27" s="10"/>
      <c r="D27" s="1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9"/>
      <c r="B28" s="2"/>
      <c r="C28" s="10"/>
      <c r="D28" s="1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9"/>
      <c r="B29" s="2"/>
      <c r="C29" s="10"/>
      <c r="D29" s="1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9"/>
      <c r="B30" s="2"/>
      <c r="C30" s="10"/>
      <c r="D30" s="1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9"/>
      <c r="B31" s="2"/>
      <c r="C31" s="10"/>
      <c r="D31" s="1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9"/>
      <c r="B32" s="2"/>
      <c r="C32" s="10"/>
      <c r="D32" s="10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9"/>
      <c r="B33" s="2"/>
      <c r="C33" s="10"/>
      <c r="D33" s="1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9"/>
      <c r="B34" s="2"/>
      <c r="C34" s="10"/>
      <c r="D34" s="1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9"/>
      <c r="B35" s="2"/>
      <c r="C35" s="10"/>
      <c r="D35" s="1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9"/>
      <c r="B36" s="2"/>
      <c r="C36" s="10"/>
      <c r="D36" s="1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9"/>
      <c r="B37" s="2"/>
      <c r="C37" s="10"/>
      <c r="D37" s="1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9"/>
      <c r="B38" s="2"/>
      <c r="C38" s="10"/>
      <c r="D38" s="1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9"/>
      <c r="B39" s="2"/>
      <c r="C39" s="10"/>
      <c r="D39" s="1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9"/>
      <c r="B40" s="2"/>
      <c r="C40" s="10"/>
      <c r="D40" s="10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9"/>
      <c r="B41" s="2"/>
      <c r="C41" s="10"/>
      <c r="D41" s="1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9"/>
      <c r="B42" s="2"/>
      <c r="C42" s="10"/>
      <c r="D42" s="10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9"/>
      <c r="B43" s="2"/>
      <c r="C43" s="10"/>
      <c r="D43" s="1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9"/>
      <c r="B44" s="2"/>
      <c r="C44" s="10"/>
      <c r="D44" s="10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9"/>
      <c r="B45" s="2"/>
      <c r="C45" s="10"/>
      <c r="D45" s="10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9"/>
      <c r="B46" s="2"/>
      <c r="C46" s="10"/>
      <c r="D46" s="10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9"/>
      <c r="B47" s="2"/>
      <c r="C47" s="10"/>
      <c r="D47" s="10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9"/>
      <c r="B48" s="2"/>
      <c r="C48" s="10"/>
      <c r="D48" s="10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9"/>
      <c r="B49" s="2"/>
      <c r="C49" s="10"/>
      <c r="D49" s="1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9"/>
      <c r="B50" s="2"/>
      <c r="C50" s="10"/>
      <c r="D50" s="1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9"/>
      <c r="B51" s="2"/>
      <c r="C51" s="10"/>
      <c r="D51" s="10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9"/>
      <c r="B52" s="2"/>
      <c r="C52" s="10"/>
      <c r="D52" s="10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9"/>
      <c r="B53" s="2"/>
      <c r="C53" s="10"/>
      <c r="D53" s="10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9"/>
      <c r="B54" s="2"/>
      <c r="C54" s="10"/>
      <c r="D54" s="10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9"/>
      <c r="B55" s="2"/>
      <c r="C55" s="10"/>
      <c r="D55" s="10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9"/>
      <c r="B56" s="2"/>
      <c r="C56" s="10"/>
      <c r="D56" s="10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9"/>
      <c r="B57" s="2"/>
      <c r="C57" s="10"/>
      <c r="D57" s="10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9"/>
      <c r="B58" s="2"/>
      <c r="C58" s="10"/>
      <c r="D58" s="10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9"/>
      <c r="B59" s="2"/>
      <c r="C59" s="10"/>
      <c r="D59" s="10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9"/>
      <c r="B60" s="2"/>
      <c r="C60" s="10"/>
      <c r="D60" s="10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9"/>
      <c r="B61" s="2"/>
      <c r="C61" s="10"/>
      <c r="D61" s="10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9"/>
      <c r="B62" s="2"/>
      <c r="C62" s="10"/>
      <c r="D62" s="10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9"/>
      <c r="B63" s="2"/>
      <c r="C63" s="10"/>
      <c r="D63" s="1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9"/>
      <c r="B64" s="2"/>
      <c r="C64" s="10"/>
      <c r="D64" s="1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9"/>
      <c r="B65" s="2"/>
      <c r="C65" s="10"/>
      <c r="D65" s="1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9"/>
      <c r="B66" s="2"/>
      <c r="C66" s="10"/>
      <c r="D66" s="1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9"/>
      <c r="B67" s="2"/>
      <c r="C67" s="10"/>
      <c r="D67" s="1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9"/>
      <c r="B68" s="2"/>
      <c r="C68" s="10"/>
      <c r="D68" s="10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9"/>
      <c r="B69" s="2"/>
      <c r="C69" s="10"/>
      <c r="D69" s="1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9"/>
      <c r="B70" s="2"/>
      <c r="C70" s="10"/>
      <c r="D70" s="1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9"/>
      <c r="B71" s="2"/>
      <c r="C71" s="10"/>
      <c r="D71" s="1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9"/>
      <c r="B72" s="2"/>
      <c r="C72" s="10"/>
      <c r="D72" s="1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9"/>
      <c r="B73" s="2"/>
      <c r="C73" s="10"/>
      <c r="D73" s="1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9"/>
      <c r="B74" s="2"/>
      <c r="C74" s="10"/>
      <c r="D74" s="1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9"/>
      <c r="B75" s="2"/>
      <c r="C75" s="10"/>
      <c r="D75" s="1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9"/>
      <c r="B76" s="2"/>
      <c r="C76" s="10"/>
      <c r="D76" s="1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9"/>
      <c r="B77" s="2"/>
      <c r="C77" s="10"/>
      <c r="D77" s="1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9"/>
      <c r="B78" s="2"/>
      <c r="C78" s="10"/>
      <c r="D78" s="10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9"/>
      <c r="B79" s="2"/>
      <c r="C79" s="10"/>
      <c r="D79" s="10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9"/>
      <c r="B80" s="2"/>
      <c r="C80" s="10"/>
      <c r="D80" s="10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9"/>
      <c r="B81" s="2"/>
      <c r="C81" s="10"/>
      <c r="D81" s="1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9"/>
      <c r="B82" s="2"/>
      <c r="C82" s="10"/>
      <c r="D82" s="1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9"/>
      <c r="B83" s="2"/>
      <c r="C83" s="10"/>
      <c r="D83" s="1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9"/>
      <c r="B84" s="2"/>
      <c r="C84" s="10"/>
      <c r="D84" s="1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9"/>
      <c r="B85" s="2"/>
      <c r="C85" s="10"/>
      <c r="D85" s="1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9"/>
      <c r="B86" s="2"/>
      <c r="C86" s="10"/>
      <c r="D86" s="1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9"/>
      <c r="B87" s="2"/>
      <c r="C87" s="10"/>
      <c r="D87" s="1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9"/>
      <c r="B88" s="2"/>
      <c r="C88" s="10"/>
      <c r="D88" s="1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9"/>
      <c r="B89" s="2"/>
      <c r="C89" s="10"/>
      <c r="D89" s="1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9"/>
      <c r="B90" s="2"/>
      <c r="C90" s="10"/>
      <c r="D90" s="1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9"/>
      <c r="B91" s="2"/>
      <c r="C91" s="10"/>
      <c r="D91" s="1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9"/>
      <c r="B92" s="2"/>
      <c r="C92" s="10"/>
      <c r="D92" s="1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9"/>
      <c r="B93" s="2"/>
      <c r="C93" s="10"/>
      <c r="D93" s="1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9"/>
      <c r="B94" s="2"/>
      <c r="C94" s="10"/>
      <c r="D94" s="1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9"/>
      <c r="B95" s="2"/>
      <c r="C95" s="10"/>
      <c r="D95" s="1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9"/>
      <c r="B96" s="2"/>
      <c r="C96" s="10"/>
      <c r="D96" s="1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9"/>
      <c r="B97" s="2"/>
      <c r="C97" s="10"/>
      <c r="D97" s="1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9"/>
      <c r="B98" s="2"/>
      <c r="C98" s="10"/>
      <c r="D98" s="1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9"/>
      <c r="B99" s="2"/>
      <c r="C99" s="10"/>
      <c r="D99" s="1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9"/>
      <c r="B100" s="2"/>
      <c r="C100" s="10"/>
      <c r="D100" s="1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9"/>
      <c r="B101" s="2"/>
      <c r="C101" s="10"/>
      <c r="D101" s="1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9"/>
      <c r="B102" s="2"/>
      <c r="C102" s="10"/>
      <c r="D102" s="1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9"/>
      <c r="B103" s="2"/>
      <c r="C103" s="10"/>
      <c r="D103" s="1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9"/>
      <c r="B104" s="2"/>
      <c r="C104" s="10"/>
      <c r="D104" s="1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9"/>
      <c r="B105" s="2"/>
      <c r="C105" s="10"/>
      <c r="D105" s="1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9"/>
      <c r="B106" s="2"/>
      <c r="C106" s="10"/>
      <c r="D106" s="1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9"/>
      <c r="B107" s="2"/>
      <c r="C107" s="10"/>
      <c r="D107" s="1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9"/>
      <c r="B108" s="2"/>
      <c r="C108" s="10"/>
      <c r="D108" s="1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9"/>
      <c r="B109" s="2"/>
      <c r="C109" s="10"/>
      <c r="D109" s="1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9"/>
      <c r="B110" s="2"/>
      <c r="C110" s="10"/>
      <c r="D110" s="1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9"/>
      <c r="B111" s="2"/>
      <c r="C111" s="10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9"/>
      <c r="B112" s="2"/>
      <c r="C112" s="10"/>
      <c r="D112" s="1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9"/>
      <c r="B113" s="2"/>
      <c r="C113" s="10"/>
      <c r="D113" s="1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9"/>
      <c r="B114" s="2"/>
      <c r="C114" s="10"/>
      <c r="D114" s="1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9"/>
      <c r="B115" s="2"/>
      <c r="C115" s="10"/>
      <c r="D115" s="1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9"/>
      <c r="B116" s="2"/>
      <c r="C116" s="10"/>
      <c r="D116" s="1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9"/>
      <c r="B117" s="2"/>
      <c r="C117" s="10"/>
      <c r="D117" s="1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9"/>
      <c r="B118" s="2"/>
      <c r="C118" s="10"/>
      <c r="D118" s="1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9"/>
      <c r="B119" s="2"/>
      <c r="C119" s="10"/>
      <c r="D119" s="1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9"/>
      <c r="B120" s="2"/>
      <c r="C120" s="10"/>
      <c r="D120" s="1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9"/>
      <c r="B121" s="2"/>
      <c r="C121" s="10"/>
      <c r="D121" s="1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9"/>
      <c r="B122" s="2"/>
      <c r="C122" s="10"/>
      <c r="D122" s="1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9"/>
      <c r="B123" s="2"/>
      <c r="C123" s="10"/>
      <c r="D123" s="1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9"/>
      <c r="B124" s="2"/>
      <c r="C124" s="10"/>
      <c r="D124" s="1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9"/>
      <c r="B125" s="2"/>
      <c r="C125" s="10"/>
      <c r="D125" s="1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9"/>
      <c r="B126" s="2"/>
      <c r="C126" s="10"/>
      <c r="D126" s="1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9"/>
      <c r="B127" s="2"/>
      <c r="C127" s="10"/>
      <c r="D127" s="1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9"/>
      <c r="B128" s="2"/>
      <c r="C128" s="10"/>
      <c r="D128" s="1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9"/>
      <c r="B129" s="2"/>
      <c r="C129" s="10"/>
      <c r="D129" s="1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9"/>
      <c r="B130" s="2"/>
      <c r="C130" s="10"/>
      <c r="D130" s="10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9"/>
      <c r="B131" s="2"/>
      <c r="C131" s="10"/>
      <c r="D131" s="10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9"/>
      <c r="B132" s="2"/>
      <c r="C132" s="10"/>
      <c r="D132" s="10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9"/>
      <c r="B133" s="2"/>
      <c r="C133" s="10"/>
      <c r="D133" s="1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9"/>
      <c r="B134" s="2"/>
      <c r="C134" s="10"/>
      <c r="D134" s="1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9"/>
      <c r="B135" s="2"/>
      <c r="C135" s="10"/>
      <c r="D135" s="10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9"/>
      <c r="B136" s="2"/>
      <c r="C136" s="10"/>
      <c r="D136" s="10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9"/>
      <c r="B137" s="2"/>
      <c r="C137" s="10"/>
      <c r="D137" s="1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9"/>
      <c r="B138" s="2"/>
      <c r="C138" s="10"/>
      <c r="D138" s="1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9"/>
      <c r="B139" s="2"/>
      <c r="C139" s="10"/>
      <c r="D139" s="1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9"/>
      <c r="B140" s="2"/>
      <c r="C140" s="10"/>
      <c r="D140" s="10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9"/>
      <c r="B141" s="2"/>
      <c r="C141" s="10"/>
      <c r="D141" s="10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9"/>
      <c r="B142" s="2"/>
      <c r="C142" s="10"/>
      <c r="D142" s="10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9"/>
      <c r="B143" s="2"/>
      <c r="C143" s="10"/>
      <c r="D143" s="1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9"/>
      <c r="B144" s="2"/>
      <c r="C144" s="10"/>
      <c r="D144" s="10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9"/>
      <c r="B145" s="2"/>
      <c r="C145" s="10"/>
      <c r="D145" s="10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9"/>
      <c r="B146" s="2"/>
      <c r="C146" s="10"/>
      <c r="D146" s="10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9"/>
      <c r="B147" s="2"/>
      <c r="C147" s="10"/>
      <c r="D147" s="1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9"/>
      <c r="B148" s="2"/>
      <c r="C148" s="10"/>
      <c r="D148" s="10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9"/>
      <c r="B149" s="2"/>
      <c r="C149" s="10"/>
      <c r="D149" s="10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9"/>
      <c r="B150" s="2"/>
      <c r="C150" s="10"/>
      <c r="D150" s="10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9"/>
      <c r="B151" s="2"/>
      <c r="C151" s="10"/>
      <c r="D151" s="10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9"/>
      <c r="B152" s="2"/>
      <c r="C152" s="10"/>
      <c r="D152" s="1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9"/>
      <c r="B153" s="2"/>
      <c r="C153" s="10"/>
      <c r="D153" s="1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9"/>
      <c r="B154" s="2"/>
      <c r="C154" s="10"/>
      <c r="D154" s="1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9"/>
      <c r="B155" s="2"/>
      <c r="C155" s="10"/>
      <c r="D155" s="1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9"/>
      <c r="B156" s="2"/>
      <c r="C156" s="10"/>
      <c r="D156" s="1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9"/>
      <c r="B157" s="2"/>
      <c r="C157" s="10"/>
      <c r="D157" s="1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9"/>
      <c r="B158" s="2"/>
      <c r="C158" s="10"/>
      <c r="D158" s="1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9"/>
      <c r="B159" s="2"/>
      <c r="C159" s="10"/>
      <c r="D159" s="1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9"/>
      <c r="B160" s="2"/>
      <c r="C160" s="10"/>
      <c r="D160" s="1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9"/>
      <c r="B161" s="2"/>
      <c r="C161" s="10"/>
      <c r="D161" s="10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9"/>
      <c r="B162" s="2"/>
      <c r="C162" s="10"/>
      <c r="D162" s="10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9"/>
      <c r="B163" s="2"/>
      <c r="C163" s="10"/>
      <c r="D163" s="10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9"/>
      <c r="B164" s="2"/>
      <c r="C164" s="10"/>
      <c r="D164" s="10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9"/>
      <c r="B165" s="2"/>
      <c r="C165" s="10"/>
      <c r="D165" s="10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9"/>
      <c r="B166" s="2"/>
      <c r="C166" s="10"/>
      <c r="D166" s="10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9"/>
      <c r="B167" s="2"/>
      <c r="C167" s="10"/>
      <c r="D167" s="10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9"/>
      <c r="B168" s="2"/>
      <c r="C168" s="10"/>
      <c r="D168" s="10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9"/>
      <c r="B169" s="2"/>
      <c r="C169" s="10"/>
      <c r="D169" s="10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9"/>
      <c r="B170" s="2"/>
      <c r="C170" s="10"/>
      <c r="D170" s="10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9"/>
      <c r="B171" s="2"/>
      <c r="C171" s="10"/>
      <c r="D171" s="10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9"/>
      <c r="B172" s="2"/>
      <c r="C172" s="10"/>
      <c r="D172" s="10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9"/>
      <c r="B173" s="2"/>
      <c r="C173" s="10"/>
      <c r="D173" s="10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9"/>
      <c r="B174" s="2"/>
      <c r="C174" s="10"/>
      <c r="D174" s="10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9"/>
      <c r="B175" s="2"/>
      <c r="C175" s="10"/>
      <c r="D175" s="10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9"/>
      <c r="B176" s="2"/>
      <c r="C176" s="10"/>
      <c r="D176" s="10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9"/>
      <c r="B177" s="2"/>
      <c r="C177" s="10"/>
      <c r="D177" s="10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9"/>
      <c r="B178" s="2"/>
      <c r="C178" s="10"/>
      <c r="D178" s="1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9"/>
      <c r="B179" s="2"/>
      <c r="C179" s="10"/>
      <c r="D179" s="1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9"/>
      <c r="B180" s="2"/>
      <c r="C180" s="10"/>
      <c r="D180" s="10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9"/>
      <c r="B181" s="2"/>
      <c r="C181" s="10"/>
      <c r="D181" s="10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9"/>
      <c r="B182" s="2"/>
      <c r="C182" s="10"/>
      <c r="D182" s="10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9"/>
      <c r="B183" s="2"/>
      <c r="C183" s="10"/>
      <c r="D183" s="10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9"/>
      <c r="B184" s="2"/>
      <c r="C184" s="10"/>
      <c r="D184" s="10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9"/>
      <c r="B185" s="2"/>
      <c r="C185" s="10"/>
      <c r="D185" s="10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9"/>
      <c r="B186" s="2"/>
      <c r="C186" s="10"/>
      <c r="D186" s="10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9"/>
      <c r="B187" s="2"/>
      <c r="C187" s="10"/>
      <c r="D187" s="10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9"/>
      <c r="B188" s="2"/>
      <c r="C188" s="10"/>
      <c r="D188" s="10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9"/>
      <c r="B189" s="2"/>
      <c r="C189" s="10"/>
      <c r="D189" s="10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9"/>
      <c r="B190" s="2"/>
      <c r="C190" s="10"/>
      <c r="D190" s="10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9"/>
      <c r="B191" s="2"/>
      <c r="C191" s="10"/>
      <c r="D191" s="10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9"/>
      <c r="B192" s="2"/>
      <c r="C192" s="10"/>
      <c r="D192" s="10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9"/>
      <c r="B193" s="2"/>
      <c r="C193" s="10"/>
      <c r="D193" s="10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9"/>
      <c r="B194" s="2"/>
      <c r="C194" s="10"/>
      <c r="D194" s="10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9"/>
      <c r="B195" s="2"/>
      <c r="C195" s="10"/>
      <c r="D195" s="10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9"/>
      <c r="B196" s="2"/>
      <c r="C196" s="10"/>
      <c r="D196" s="10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9"/>
      <c r="B197" s="2"/>
      <c r="C197" s="10"/>
      <c r="D197" s="10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9"/>
      <c r="B198" s="2"/>
      <c r="C198" s="10"/>
      <c r="D198" s="10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9"/>
      <c r="B199" s="2"/>
      <c r="C199" s="10"/>
      <c r="D199" s="10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9"/>
      <c r="B200" s="2"/>
      <c r="C200" s="10"/>
      <c r="D200" s="10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8:K8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>
      <selection sqref="A1:K1"/>
    </sheetView>
  </sheetViews>
  <sheetFormatPr defaultRowHeight="14"/>
  <cols>
    <col min="1" max="1" width="20" customWidth="1"/>
    <col min="2" max="2" width="42" customWidth="1"/>
    <col min="3" max="3" width="16" customWidth="1"/>
    <col min="4" max="4" width="28" customWidth="1"/>
    <col min="5" max="5" width="46" customWidth="1"/>
    <col min="6" max="6" width="32" customWidth="1"/>
    <col min="7" max="7" width="14" customWidth="1"/>
    <col min="8" max="8" width="16" customWidth="1"/>
  </cols>
  <sheetData>
    <row r="1" spans="1:26" ht="16" customHeight="1">
      <c r="A1" s="18" t="s">
        <v>138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26" ht="22.65" customHeight="1">
      <c r="A3" s="5" t="s">
        <v>139</v>
      </c>
      <c r="B3" s="5" t="s">
        <v>140</v>
      </c>
      <c r="C3" s="5" t="s">
        <v>39</v>
      </c>
      <c r="D3" s="5" t="s">
        <v>141</v>
      </c>
      <c r="E3" s="5" t="s">
        <v>142</v>
      </c>
      <c r="F3" s="5" t="s">
        <v>143</v>
      </c>
      <c r="G3" s="5" t="s">
        <v>144</v>
      </c>
      <c r="H3" s="5" t="s">
        <v>38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" t="s">
        <v>67</v>
      </c>
      <c r="B4" s="6" t="s">
        <v>145</v>
      </c>
      <c r="C4" s="6" t="s">
        <v>45</v>
      </c>
      <c r="D4" s="6" t="s">
        <v>146</v>
      </c>
      <c r="E4" s="6" t="s">
        <v>147</v>
      </c>
      <c r="F4" s="6" t="s">
        <v>148</v>
      </c>
      <c r="G4" s="11">
        <v>32</v>
      </c>
      <c r="H4" s="6" t="s">
        <v>44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 t="s">
        <v>149</v>
      </c>
      <c r="B5" s="6" t="s">
        <v>150</v>
      </c>
      <c r="C5" s="6" t="s">
        <v>50</v>
      </c>
      <c r="D5" s="6" t="s">
        <v>151</v>
      </c>
      <c r="E5" s="6" t="s">
        <v>152</v>
      </c>
      <c r="F5" s="6" t="s">
        <v>148</v>
      </c>
      <c r="G5" s="11">
        <v>24</v>
      </c>
      <c r="H5" s="6" t="s">
        <v>44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 t="s">
        <v>153</v>
      </c>
      <c r="B6" s="6" t="s">
        <v>154</v>
      </c>
      <c r="C6" s="6" t="s">
        <v>54</v>
      </c>
      <c r="D6" s="6" t="s">
        <v>155</v>
      </c>
      <c r="E6" s="6" t="s">
        <v>156</v>
      </c>
      <c r="F6" s="6" t="s">
        <v>148</v>
      </c>
      <c r="G6" s="11">
        <v>24</v>
      </c>
      <c r="H6" s="6" t="s">
        <v>44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" customHeight="1">
      <c r="A8" s="20" t="s">
        <v>157</v>
      </c>
      <c r="B8" s="21"/>
      <c r="C8" s="21"/>
      <c r="D8" s="21"/>
      <c r="E8" s="21"/>
      <c r="F8" s="21"/>
      <c r="G8" s="25"/>
      <c r="H8" s="21"/>
      <c r="I8" s="21"/>
      <c r="J8" s="21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1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1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1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1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1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1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1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1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1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1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1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1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1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1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1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1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1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1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1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1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1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1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1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1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1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1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1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1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1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1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1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1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1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1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1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1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1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1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1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1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1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1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1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1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1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1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1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1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1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1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1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1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1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1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1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1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1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1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1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1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1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1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1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1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1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1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1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1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1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1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1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1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1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1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1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1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1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1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1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1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1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1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1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1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1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1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1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1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1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1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1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1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1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1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1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1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1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1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1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1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1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1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1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1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1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1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1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1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1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1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1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1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1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1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1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1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1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1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1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1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1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1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1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1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1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1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1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1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1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1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1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1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1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1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1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1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1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1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1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1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1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1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1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1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1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1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1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1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1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1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1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1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1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1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1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1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1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1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8:K8"/>
  </mergeCells>
  <dataValidations count="2">
    <dataValidation type="list" sqref="C4:C200" xr:uid="{00000000-0002-0000-0700-000000000000}">
      <formula1>"HK,KP,KS"</formula1>
    </dataValidation>
    <dataValidation type="list" sqref="H4:H200" xr:uid="{00000000-0002-0000-0700-000001000000}">
      <formula1>"Aktif,Tidak Aktif"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sqref="A1:K1"/>
    </sheetView>
  </sheetViews>
  <sheetFormatPr defaultRowHeight="14"/>
  <cols>
    <col min="1" max="1" width="22" customWidth="1"/>
    <col min="2" max="2" width="20" customWidth="1"/>
    <col min="3" max="4" width="18" customWidth="1"/>
    <col min="5" max="5" width="28" customWidth="1"/>
    <col min="6" max="6" width="24" customWidth="1"/>
    <col min="7" max="7" width="18" customWidth="1"/>
    <col min="8" max="8" width="42" customWidth="1"/>
  </cols>
  <sheetData>
    <row r="1" spans="1:26" ht="16" customHeight="1">
      <c r="A1" s="18" t="s">
        <v>158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26" ht="22.65" customHeight="1">
      <c r="A3" s="5" t="s">
        <v>107</v>
      </c>
      <c r="B3" s="5" t="s">
        <v>139</v>
      </c>
      <c r="C3" s="5" t="s">
        <v>132</v>
      </c>
      <c r="D3" s="5" t="s">
        <v>133</v>
      </c>
      <c r="E3" s="5" t="s">
        <v>143</v>
      </c>
      <c r="F3" s="5" t="s">
        <v>159</v>
      </c>
      <c r="G3" s="5" t="s">
        <v>160</v>
      </c>
      <c r="H3" s="5" t="s">
        <v>85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 t="s">
        <v>115</v>
      </c>
      <c r="B4" s="6" t="s">
        <v>67</v>
      </c>
      <c r="C4" s="8">
        <v>45047</v>
      </c>
      <c r="D4" s="8">
        <v>45050</v>
      </c>
      <c r="E4" s="6" t="s">
        <v>161</v>
      </c>
      <c r="F4" s="6" t="s">
        <v>162</v>
      </c>
      <c r="G4" s="6" t="s">
        <v>163</v>
      </c>
      <c r="H4" s="6" t="s">
        <v>136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 t="s">
        <v>120</v>
      </c>
      <c r="B5" s="6" t="s">
        <v>149</v>
      </c>
      <c r="C5" s="8">
        <v>44418</v>
      </c>
      <c r="D5" s="8">
        <v>44420</v>
      </c>
      <c r="E5" s="6" t="s">
        <v>161</v>
      </c>
      <c r="F5" s="6" t="s">
        <v>164</v>
      </c>
      <c r="G5" s="6" t="s">
        <v>163</v>
      </c>
      <c r="H5" s="6" t="s">
        <v>136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 t="s">
        <v>125</v>
      </c>
      <c r="B6" s="6" t="s">
        <v>153</v>
      </c>
      <c r="C6" s="8"/>
      <c r="D6" s="8"/>
      <c r="E6" s="6"/>
      <c r="F6" s="6"/>
      <c r="G6" s="6" t="s">
        <v>165</v>
      </c>
      <c r="H6" s="6" t="s">
        <v>166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9"/>
      <c r="B7" s="2"/>
      <c r="C7" s="10"/>
      <c r="D7" s="1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" customHeight="1">
      <c r="A8" s="22" t="s">
        <v>167</v>
      </c>
      <c r="B8" s="21"/>
      <c r="C8" s="23"/>
      <c r="D8" s="23"/>
      <c r="E8" s="21"/>
      <c r="F8" s="21"/>
      <c r="G8" s="21"/>
      <c r="H8" s="21"/>
      <c r="I8" s="21"/>
      <c r="J8" s="21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/>
      <c r="B9" s="2"/>
      <c r="C9" s="10"/>
      <c r="D9" s="1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9"/>
      <c r="B10" s="2"/>
      <c r="C10" s="10"/>
      <c r="D10" s="1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9"/>
      <c r="B11" s="2"/>
      <c r="C11" s="10"/>
      <c r="D11" s="1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9"/>
      <c r="B12" s="2"/>
      <c r="C12" s="10"/>
      <c r="D12" s="1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9"/>
      <c r="B13" s="2"/>
      <c r="C13" s="10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/>
      <c r="B14" s="2"/>
      <c r="C14" s="10"/>
      <c r="D14" s="1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/>
      <c r="B15" s="2"/>
      <c r="C15" s="10"/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9"/>
      <c r="B16" s="2"/>
      <c r="C16" s="10"/>
      <c r="D16" s="1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9"/>
      <c r="B17" s="2"/>
      <c r="C17" s="10"/>
      <c r="D17" s="1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9"/>
      <c r="B18" s="2"/>
      <c r="C18" s="10"/>
      <c r="D18" s="1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9"/>
      <c r="B19" s="2"/>
      <c r="C19" s="10"/>
      <c r="D19" s="1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9"/>
      <c r="B20" s="2"/>
      <c r="C20" s="10"/>
      <c r="D20" s="1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9"/>
      <c r="B21" s="2"/>
      <c r="C21" s="10"/>
      <c r="D21" s="1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9"/>
      <c r="B22" s="2"/>
      <c r="C22" s="10"/>
      <c r="D22" s="1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9"/>
      <c r="B23" s="2"/>
      <c r="C23" s="10"/>
      <c r="D23" s="1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9"/>
      <c r="B24" s="2"/>
      <c r="C24" s="10"/>
      <c r="D24" s="1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9"/>
      <c r="B25" s="2"/>
      <c r="C25" s="10"/>
      <c r="D25" s="1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9"/>
      <c r="B26" s="2"/>
      <c r="C26" s="10"/>
      <c r="D26" s="1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9"/>
      <c r="B27" s="2"/>
      <c r="C27" s="10"/>
      <c r="D27" s="1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9"/>
      <c r="B28" s="2"/>
      <c r="C28" s="10"/>
      <c r="D28" s="1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9"/>
      <c r="B29" s="2"/>
      <c r="C29" s="10"/>
      <c r="D29" s="1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9"/>
      <c r="B30" s="2"/>
      <c r="C30" s="10"/>
      <c r="D30" s="1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9"/>
      <c r="B31" s="2"/>
      <c r="C31" s="10"/>
      <c r="D31" s="1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9"/>
      <c r="B32" s="2"/>
      <c r="C32" s="10"/>
      <c r="D32" s="10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9"/>
      <c r="B33" s="2"/>
      <c r="C33" s="10"/>
      <c r="D33" s="1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9"/>
      <c r="B34" s="2"/>
      <c r="C34" s="10"/>
      <c r="D34" s="1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9"/>
      <c r="B35" s="2"/>
      <c r="C35" s="10"/>
      <c r="D35" s="1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9"/>
      <c r="B36" s="2"/>
      <c r="C36" s="10"/>
      <c r="D36" s="1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9"/>
      <c r="B37" s="2"/>
      <c r="C37" s="10"/>
      <c r="D37" s="1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9"/>
      <c r="B38" s="2"/>
      <c r="C38" s="10"/>
      <c r="D38" s="1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9"/>
      <c r="B39" s="2"/>
      <c r="C39" s="10"/>
      <c r="D39" s="1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9"/>
      <c r="B40" s="2"/>
      <c r="C40" s="10"/>
      <c r="D40" s="10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9"/>
      <c r="B41" s="2"/>
      <c r="C41" s="10"/>
      <c r="D41" s="1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9"/>
      <c r="B42" s="2"/>
      <c r="C42" s="10"/>
      <c r="D42" s="10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9"/>
      <c r="B43" s="2"/>
      <c r="C43" s="10"/>
      <c r="D43" s="1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9"/>
      <c r="B44" s="2"/>
      <c r="C44" s="10"/>
      <c r="D44" s="10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9"/>
      <c r="B45" s="2"/>
      <c r="C45" s="10"/>
      <c r="D45" s="10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9"/>
      <c r="B46" s="2"/>
      <c r="C46" s="10"/>
      <c r="D46" s="10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9"/>
      <c r="B47" s="2"/>
      <c r="C47" s="10"/>
      <c r="D47" s="10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9"/>
      <c r="B48" s="2"/>
      <c r="C48" s="10"/>
      <c r="D48" s="10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9"/>
      <c r="B49" s="2"/>
      <c r="C49" s="10"/>
      <c r="D49" s="1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9"/>
      <c r="B50" s="2"/>
      <c r="C50" s="10"/>
      <c r="D50" s="1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9"/>
      <c r="B51" s="2"/>
      <c r="C51" s="10"/>
      <c r="D51" s="10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9"/>
      <c r="B52" s="2"/>
      <c r="C52" s="10"/>
      <c r="D52" s="10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9"/>
      <c r="B53" s="2"/>
      <c r="C53" s="10"/>
      <c r="D53" s="10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9"/>
      <c r="B54" s="2"/>
      <c r="C54" s="10"/>
      <c r="D54" s="10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9"/>
      <c r="B55" s="2"/>
      <c r="C55" s="10"/>
      <c r="D55" s="10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9"/>
      <c r="B56" s="2"/>
      <c r="C56" s="10"/>
      <c r="D56" s="10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9"/>
      <c r="B57" s="2"/>
      <c r="C57" s="10"/>
      <c r="D57" s="10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9"/>
      <c r="B58" s="2"/>
      <c r="C58" s="10"/>
      <c r="D58" s="10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9"/>
      <c r="B59" s="2"/>
      <c r="C59" s="10"/>
      <c r="D59" s="10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9"/>
      <c r="B60" s="2"/>
      <c r="C60" s="10"/>
      <c r="D60" s="10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9"/>
      <c r="B61" s="2"/>
      <c r="C61" s="10"/>
      <c r="D61" s="10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9"/>
      <c r="B62" s="2"/>
      <c r="C62" s="10"/>
      <c r="D62" s="10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9"/>
      <c r="B63" s="2"/>
      <c r="C63" s="10"/>
      <c r="D63" s="1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9"/>
      <c r="B64" s="2"/>
      <c r="C64" s="10"/>
      <c r="D64" s="1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9"/>
      <c r="B65" s="2"/>
      <c r="C65" s="10"/>
      <c r="D65" s="1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9"/>
      <c r="B66" s="2"/>
      <c r="C66" s="10"/>
      <c r="D66" s="1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9"/>
      <c r="B67" s="2"/>
      <c r="C67" s="10"/>
      <c r="D67" s="1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9"/>
      <c r="B68" s="2"/>
      <c r="C68" s="10"/>
      <c r="D68" s="10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9"/>
      <c r="B69" s="2"/>
      <c r="C69" s="10"/>
      <c r="D69" s="1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9"/>
      <c r="B70" s="2"/>
      <c r="C70" s="10"/>
      <c r="D70" s="1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9"/>
      <c r="B71" s="2"/>
      <c r="C71" s="10"/>
      <c r="D71" s="1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9"/>
      <c r="B72" s="2"/>
      <c r="C72" s="10"/>
      <c r="D72" s="1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9"/>
      <c r="B73" s="2"/>
      <c r="C73" s="10"/>
      <c r="D73" s="1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9"/>
      <c r="B74" s="2"/>
      <c r="C74" s="10"/>
      <c r="D74" s="1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9"/>
      <c r="B75" s="2"/>
      <c r="C75" s="10"/>
      <c r="D75" s="1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9"/>
      <c r="B76" s="2"/>
      <c r="C76" s="10"/>
      <c r="D76" s="1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9"/>
      <c r="B77" s="2"/>
      <c r="C77" s="10"/>
      <c r="D77" s="1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9"/>
      <c r="B78" s="2"/>
      <c r="C78" s="10"/>
      <c r="D78" s="10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9"/>
      <c r="B79" s="2"/>
      <c r="C79" s="10"/>
      <c r="D79" s="10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9"/>
      <c r="B80" s="2"/>
      <c r="C80" s="10"/>
      <c r="D80" s="10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9"/>
      <c r="B81" s="2"/>
      <c r="C81" s="10"/>
      <c r="D81" s="1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9"/>
      <c r="B82" s="2"/>
      <c r="C82" s="10"/>
      <c r="D82" s="1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9"/>
      <c r="B83" s="2"/>
      <c r="C83" s="10"/>
      <c r="D83" s="1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9"/>
      <c r="B84" s="2"/>
      <c r="C84" s="10"/>
      <c r="D84" s="1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9"/>
      <c r="B85" s="2"/>
      <c r="C85" s="10"/>
      <c r="D85" s="1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9"/>
      <c r="B86" s="2"/>
      <c r="C86" s="10"/>
      <c r="D86" s="1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9"/>
      <c r="B87" s="2"/>
      <c r="C87" s="10"/>
      <c r="D87" s="1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9"/>
      <c r="B88" s="2"/>
      <c r="C88" s="10"/>
      <c r="D88" s="1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9"/>
      <c r="B89" s="2"/>
      <c r="C89" s="10"/>
      <c r="D89" s="1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9"/>
      <c r="B90" s="2"/>
      <c r="C90" s="10"/>
      <c r="D90" s="1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9"/>
      <c r="B91" s="2"/>
      <c r="C91" s="10"/>
      <c r="D91" s="1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9"/>
      <c r="B92" s="2"/>
      <c r="C92" s="10"/>
      <c r="D92" s="1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9"/>
      <c r="B93" s="2"/>
      <c r="C93" s="10"/>
      <c r="D93" s="1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9"/>
      <c r="B94" s="2"/>
      <c r="C94" s="10"/>
      <c r="D94" s="1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9"/>
      <c r="B95" s="2"/>
      <c r="C95" s="10"/>
      <c r="D95" s="1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9"/>
      <c r="B96" s="2"/>
      <c r="C96" s="10"/>
      <c r="D96" s="1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9"/>
      <c r="B97" s="2"/>
      <c r="C97" s="10"/>
      <c r="D97" s="1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9"/>
      <c r="B98" s="2"/>
      <c r="C98" s="10"/>
      <c r="D98" s="1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9"/>
      <c r="B99" s="2"/>
      <c r="C99" s="10"/>
      <c r="D99" s="1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9"/>
      <c r="B100" s="2"/>
      <c r="C100" s="10"/>
      <c r="D100" s="1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9"/>
      <c r="B101" s="2"/>
      <c r="C101" s="10"/>
      <c r="D101" s="1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9"/>
      <c r="B102" s="2"/>
      <c r="C102" s="10"/>
      <c r="D102" s="1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9"/>
      <c r="B103" s="2"/>
      <c r="C103" s="10"/>
      <c r="D103" s="1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9"/>
      <c r="B104" s="2"/>
      <c r="C104" s="10"/>
      <c r="D104" s="1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9"/>
      <c r="B105" s="2"/>
      <c r="C105" s="10"/>
      <c r="D105" s="1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9"/>
      <c r="B106" s="2"/>
      <c r="C106" s="10"/>
      <c r="D106" s="1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9"/>
      <c r="B107" s="2"/>
      <c r="C107" s="10"/>
      <c r="D107" s="1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9"/>
      <c r="B108" s="2"/>
      <c r="C108" s="10"/>
      <c r="D108" s="1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9"/>
      <c r="B109" s="2"/>
      <c r="C109" s="10"/>
      <c r="D109" s="1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9"/>
      <c r="B110" s="2"/>
      <c r="C110" s="10"/>
      <c r="D110" s="1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9"/>
      <c r="B111" s="2"/>
      <c r="C111" s="10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9"/>
      <c r="B112" s="2"/>
      <c r="C112" s="10"/>
      <c r="D112" s="1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9"/>
      <c r="B113" s="2"/>
      <c r="C113" s="10"/>
      <c r="D113" s="1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9"/>
      <c r="B114" s="2"/>
      <c r="C114" s="10"/>
      <c r="D114" s="1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9"/>
      <c r="B115" s="2"/>
      <c r="C115" s="10"/>
      <c r="D115" s="1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9"/>
      <c r="B116" s="2"/>
      <c r="C116" s="10"/>
      <c r="D116" s="1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9"/>
      <c r="B117" s="2"/>
      <c r="C117" s="10"/>
      <c r="D117" s="1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9"/>
      <c r="B118" s="2"/>
      <c r="C118" s="10"/>
      <c r="D118" s="1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9"/>
      <c r="B119" s="2"/>
      <c r="C119" s="10"/>
      <c r="D119" s="1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9"/>
      <c r="B120" s="2"/>
      <c r="C120" s="10"/>
      <c r="D120" s="1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9"/>
      <c r="B121" s="2"/>
      <c r="C121" s="10"/>
      <c r="D121" s="1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9"/>
      <c r="B122" s="2"/>
      <c r="C122" s="10"/>
      <c r="D122" s="1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9"/>
      <c r="B123" s="2"/>
      <c r="C123" s="10"/>
      <c r="D123" s="1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9"/>
      <c r="B124" s="2"/>
      <c r="C124" s="10"/>
      <c r="D124" s="1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9"/>
      <c r="B125" s="2"/>
      <c r="C125" s="10"/>
      <c r="D125" s="1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9"/>
      <c r="B126" s="2"/>
      <c r="C126" s="10"/>
      <c r="D126" s="1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9"/>
      <c r="B127" s="2"/>
      <c r="C127" s="10"/>
      <c r="D127" s="1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9"/>
      <c r="B128" s="2"/>
      <c r="C128" s="10"/>
      <c r="D128" s="1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9"/>
      <c r="B129" s="2"/>
      <c r="C129" s="10"/>
      <c r="D129" s="1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9"/>
      <c r="B130" s="2"/>
      <c r="C130" s="10"/>
      <c r="D130" s="10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9"/>
      <c r="B131" s="2"/>
      <c r="C131" s="10"/>
      <c r="D131" s="10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9"/>
      <c r="B132" s="2"/>
      <c r="C132" s="10"/>
      <c r="D132" s="10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9"/>
      <c r="B133" s="2"/>
      <c r="C133" s="10"/>
      <c r="D133" s="1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9"/>
      <c r="B134" s="2"/>
      <c r="C134" s="10"/>
      <c r="D134" s="1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9"/>
      <c r="B135" s="2"/>
      <c r="C135" s="10"/>
      <c r="D135" s="10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9"/>
      <c r="B136" s="2"/>
      <c r="C136" s="10"/>
      <c r="D136" s="10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9"/>
      <c r="B137" s="2"/>
      <c r="C137" s="10"/>
      <c r="D137" s="1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9"/>
      <c r="B138" s="2"/>
      <c r="C138" s="10"/>
      <c r="D138" s="1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9"/>
      <c r="B139" s="2"/>
      <c r="C139" s="10"/>
      <c r="D139" s="1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9"/>
      <c r="B140" s="2"/>
      <c r="C140" s="10"/>
      <c r="D140" s="10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9"/>
      <c r="B141" s="2"/>
      <c r="C141" s="10"/>
      <c r="D141" s="10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9"/>
      <c r="B142" s="2"/>
      <c r="C142" s="10"/>
      <c r="D142" s="10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9"/>
      <c r="B143" s="2"/>
      <c r="C143" s="10"/>
      <c r="D143" s="1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9"/>
      <c r="B144" s="2"/>
      <c r="C144" s="10"/>
      <c r="D144" s="10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9"/>
      <c r="B145" s="2"/>
      <c r="C145" s="10"/>
      <c r="D145" s="10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9"/>
      <c r="B146" s="2"/>
      <c r="C146" s="10"/>
      <c r="D146" s="10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9"/>
      <c r="B147" s="2"/>
      <c r="C147" s="10"/>
      <c r="D147" s="1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9"/>
      <c r="B148" s="2"/>
      <c r="C148" s="10"/>
      <c r="D148" s="10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9"/>
      <c r="B149" s="2"/>
      <c r="C149" s="10"/>
      <c r="D149" s="10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9"/>
      <c r="B150" s="2"/>
      <c r="C150" s="10"/>
      <c r="D150" s="10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9"/>
      <c r="B151" s="2"/>
      <c r="C151" s="10"/>
      <c r="D151" s="10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9"/>
      <c r="B152" s="2"/>
      <c r="C152" s="10"/>
      <c r="D152" s="1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9"/>
      <c r="B153" s="2"/>
      <c r="C153" s="10"/>
      <c r="D153" s="1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9"/>
      <c r="B154" s="2"/>
      <c r="C154" s="10"/>
      <c r="D154" s="1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9"/>
      <c r="B155" s="2"/>
      <c r="C155" s="10"/>
      <c r="D155" s="1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9"/>
      <c r="B156" s="2"/>
      <c r="C156" s="10"/>
      <c r="D156" s="1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9"/>
      <c r="B157" s="2"/>
      <c r="C157" s="10"/>
      <c r="D157" s="1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9"/>
      <c r="B158" s="2"/>
      <c r="C158" s="10"/>
      <c r="D158" s="1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9"/>
      <c r="B159" s="2"/>
      <c r="C159" s="10"/>
      <c r="D159" s="1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9"/>
      <c r="B160" s="2"/>
      <c r="C160" s="10"/>
      <c r="D160" s="1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9"/>
      <c r="B161" s="2"/>
      <c r="C161" s="10"/>
      <c r="D161" s="10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9"/>
      <c r="B162" s="2"/>
      <c r="C162" s="10"/>
      <c r="D162" s="10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9"/>
      <c r="B163" s="2"/>
      <c r="C163" s="10"/>
      <c r="D163" s="10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9"/>
      <c r="B164" s="2"/>
      <c r="C164" s="10"/>
      <c r="D164" s="10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9"/>
      <c r="B165" s="2"/>
      <c r="C165" s="10"/>
      <c r="D165" s="10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9"/>
      <c r="B166" s="2"/>
      <c r="C166" s="10"/>
      <c r="D166" s="10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9"/>
      <c r="B167" s="2"/>
      <c r="C167" s="10"/>
      <c r="D167" s="10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9"/>
      <c r="B168" s="2"/>
      <c r="C168" s="10"/>
      <c r="D168" s="10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9"/>
      <c r="B169" s="2"/>
      <c r="C169" s="10"/>
      <c r="D169" s="10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9"/>
      <c r="B170" s="2"/>
      <c r="C170" s="10"/>
      <c r="D170" s="10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9"/>
      <c r="B171" s="2"/>
      <c r="C171" s="10"/>
      <c r="D171" s="10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9"/>
      <c r="B172" s="2"/>
      <c r="C172" s="10"/>
      <c r="D172" s="10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9"/>
      <c r="B173" s="2"/>
      <c r="C173" s="10"/>
      <c r="D173" s="10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9"/>
      <c r="B174" s="2"/>
      <c r="C174" s="10"/>
      <c r="D174" s="10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9"/>
      <c r="B175" s="2"/>
      <c r="C175" s="10"/>
      <c r="D175" s="10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9"/>
      <c r="B176" s="2"/>
      <c r="C176" s="10"/>
      <c r="D176" s="10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9"/>
      <c r="B177" s="2"/>
      <c r="C177" s="10"/>
      <c r="D177" s="10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9"/>
      <c r="B178" s="2"/>
      <c r="C178" s="10"/>
      <c r="D178" s="1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9"/>
      <c r="B179" s="2"/>
      <c r="C179" s="10"/>
      <c r="D179" s="1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9"/>
      <c r="B180" s="2"/>
      <c r="C180" s="10"/>
      <c r="D180" s="10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9"/>
      <c r="B181" s="2"/>
      <c r="C181" s="10"/>
      <c r="D181" s="10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9"/>
      <c r="B182" s="2"/>
      <c r="C182" s="10"/>
      <c r="D182" s="10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9"/>
      <c r="B183" s="2"/>
      <c r="C183" s="10"/>
      <c r="D183" s="10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9"/>
      <c r="B184" s="2"/>
      <c r="C184" s="10"/>
      <c r="D184" s="10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9"/>
      <c r="B185" s="2"/>
      <c r="C185" s="10"/>
      <c r="D185" s="10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9"/>
      <c r="B186" s="2"/>
      <c r="C186" s="10"/>
      <c r="D186" s="10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9"/>
      <c r="B187" s="2"/>
      <c r="C187" s="10"/>
      <c r="D187" s="10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9"/>
      <c r="B188" s="2"/>
      <c r="C188" s="10"/>
      <c r="D188" s="10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9"/>
      <c r="B189" s="2"/>
      <c r="C189" s="10"/>
      <c r="D189" s="10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9"/>
      <c r="B190" s="2"/>
      <c r="C190" s="10"/>
      <c r="D190" s="10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9"/>
      <c r="B191" s="2"/>
      <c r="C191" s="10"/>
      <c r="D191" s="10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9"/>
      <c r="B192" s="2"/>
      <c r="C192" s="10"/>
      <c r="D192" s="10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9"/>
      <c r="B193" s="2"/>
      <c r="C193" s="10"/>
      <c r="D193" s="10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9"/>
      <c r="B194" s="2"/>
      <c r="C194" s="10"/>
      <c r="D194" s="10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9"/>
      <c r="B195" s="2"/>
      <c r="C195" s="10"/>
      <c r="D195" s="10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9"/>
      <c r="B196" s="2"/>
      <c r="C196" s="10"/>
      <c r="D196" s="10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9"/>
      <c r="B197" s="2"/>
      <c r="C197" s="10"/>
      <c r="D197" s="10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9"/>
      <c r="B198" s="2"/>
      <c r="C198" s="10"/>
      <c r="D198" s="10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9"/>
      <c r="B199" s="2"/>
      <c r="C199" s="10"/>
      <c r="D199" s="10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9"/>
      <c r="B200" s="2"/>
      <c r="C200" s="10"/>
      <c r="D200" s="10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8:K8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>
      <selection sqref="A1:K1"/>
    </sheetView>
  </sheetViews>
  <sheetFormatPr defaultRowHeight="14"/>
  <cols>
    <col min="1" max="1" width="20" customWidth="1"/>
    <col min="2" max="2" width="16" customWidth="1"/>
    <col min="3" max="3" width="34" customWidth="1"/>
    <col min="4" max="4" width="58" customWidth="1"/>
    <col min="5" max="5" width="18" customWidth="1"/>
    <col min="6" max="7" width="14" customWidth="1"/>
    <col min="8" max="8" width="16" customWidth="1"/>
  </cols>
  <sheetData>
    <row r="1" spans="1:26" ht="16" customHeight="1">
      <c r="A1" s="18" t="s">
        <v>168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26" ht="22.65" customHeight="1">
      <c r="A3" s="5" t="s">
        <v>169</v>
      </c>
      <c r="B3" s="5" t="s">
        <v>39</v>
      </c>
      <c r="C3" s="5" t="s">
        <v>170</v>
      </c>
      <c r="D3" s="5" t="s">
        <v>77</v>
      </c>
      <c r="E3" s="5" t="s">
        <v>171</v>
      </c>
      <c r="F3" s="5" t="s">
        <v>172</v>
      </c>
      <c r="G3" s="5" t="s">
        <v>173</v>
      </c>
      <c r="H3" s="5" t="s">
        <v>38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" t="s">
        <v>71</v>
      </c>
      <c r="B4" s="6" t="s">
        <v>45</v>
      </c>
      <c r="C4" s="6" t="s">
        <v>174</v>
      </c>
      <c r="D4" s="6" t="s">
        <v>175</v>
      </c>
      <c r="E4" s="13">
        <v>0.4</v>
      </c>
      <c r="F4" s="11">
        <v>1</v>
      </c>
      <c r="G4" s="11">
        <v>5</v>
      </c>
      <c r="H4" s="6" t="s">
        <v>44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 t="s">
        <v>176</v>
      </c>
      <c r="B5" s="6" t="s">
        <v>50</v>
      </c>
      <c r="C5" s="6" t="s">
        <v>177</v>
      </c>
      <c r="D5" s="6" t="s">
        <v>178</v>
      </c>
      <c r="E5" s="13">
        <v>0.4</v>
      </c>
      <c r="F5" s="11">
        <v>1</v>
      </c>
      <c r="G5" s="11">
        <v>5</v>
      </c>
      <c r="H5" s="6" t="s">
        <v>44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">
      <c r="A6" s="6" t="s">
        <v>179</v>
      </c>
      <c r="B6" s="6" t="s">
        <v>54</v>
      </c>
      <c r="C6" s="6" t="s">
        <v>180</v>
      </c>
      <c r="D6" s="6" t="s">
        <v>181</v>
      </c>
      <c r="E6" s="13">
        <v>0.4</v>
      </c>
      <c r="F6" s="11">
        <v>1</v>
      </c>
      <c r="G6" s="11">
        <v>5</v>
      </c>
      <c r="H6" s="6" t="s">
        <v>44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14"/>
      <c r="F7" s="1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" customHeight="1">
      <c r="A8" s="20" t="s">
        <v>182</v>
      </c>
      <c r="B8" s="21"/>
      <c r="C8" s="21"/>
      <c r="D8" s="21"/>
      <c r="E8" s="26"/>
      <c r="F8" s="25"/>
      <c r="G8" s="25"/>
      <c r="H8" s="21"/>
      <c r="I8" s="21"/>
      <c r="J8" s="21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14"/>
      <c r="F9" s="1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14"/>
      <c r="F10" s="1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14"/>
      <c r="F11" s="1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14"/>
      <c r="F12" s="1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14"/>
      <c r="F13" s="1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14"/>
      <c r="F14" s="1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14"/>
      <c r="F15" s="1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14"/>
      <c r="F16" s="1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14"/>
      <c r="F17" s="1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14"/>
      <c r="F18" s="1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14"/>
      <c r="F19" s="1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14"/>
      <c r="F20" s="1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14"/>
      <c r="F21" s="1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14"/>
      <c r="F22" s="1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14"/>
      <c r="F23" s="12"/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14"/>
      <c r="F24" s="12"/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14"/>
      <c r="F25" s="1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14"/>
      <c r="F26" s="1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14"/>
      <c r="F27" s="12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14"/>
      <c r="F28" s="12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14"/>
      <c r="F29" s="12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14"/>
      <c r="F30" s="12"/>
      <c r="G30" s="1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14"/>
      <c r="F31" s="12"/>
      <c r="G31" s="1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14"/>
      <c r="F32" s="12"/>
      <c r="G32" s="1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14"/>
      <c r="F33" s="1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14"/>
      <c r="F34" s="1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14"/>
      <c r="F35" s="1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14"/>
      <c r="F36" s="12"/>
      <c r="G36" s="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14"/>
      <c r="F37" s="12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14"/>
      <c r="F38" s="12"/>
      <c r="G38" s="1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14"/>
      <c r="F39" s="12"/>
      <c r="G39" s="1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14"/>
      <c r="F40" s="1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14"/>
      <c r="F41" s="1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14"/>
      <c r="F42" s="1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14"/>
      <c r="F43" s="1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14"/>
      <c r="F44" s="1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14"/>
      <c r="F45" s="12"/>
      <c r="G45" s="1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14"/>
      <c r="F46" s="1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14"/>
      <c r="F47" s="12"/>
      <c r="G47" s="1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14"/>
      <c r="F48" s="12"/>
      <c r="G48" s="1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14"/>
      <c r="F49" s="12"/>
      <c r="G49" s="1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14"/>
      <c r="F50" s="1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14"/>
      <c r="F51" s="1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14"/>
      <c r="F52" s="12"/>
      <c r="G52" s="1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14"/>
      <c r="F53" s="12"/>
      <c r="G53" s="1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14"/>
      <c r="F54" s="12"/>
      <c r="G54" s="1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14"/>
      <c r="F55" s="12"/>
      <c r="G55" s="1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14"/>
      <c r="F56" s="12"/>
      <c r="G56" s="1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14"/>
      <c r="F57" s="12"/>
      <c r="G57" s="1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14"/>
      <c r="F58" s="12"/>
      <c r="G58" s="1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14"/>
      <c r="F59" s="12"/>
      <c r="G59" s="1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14"/>
      <c r="F60" s="12"/>
      <c r="G60" s="1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14"/>
      <c r="F61" s="12"/>
      <c r="G61" s="1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14"/>
      <c r="F62" s="12"/>
      <c r="G62" s="1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14"/>
      <c r="F63" s="12"/>
      <c r="G63" s="1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14"/>
      <c r="F64" s="12"/>
      <c r="G64" s="1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14"/>
      <c r="F65" s="12"/>
      <c r="G65" s="1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14"/>
      <c r="F66" s="12"/>
      <c r="G66" s="1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14"/>
      <c r="F67" s="12"/>
      <c r="G67" s="1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14"/>
      <c r="F68" s="12"/>
      <c r="G68" s="1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14"/>
      <c r="F69" s="12"/>
      <c r="G69" s="1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14"/>
      <c r="F70" s="12"/>
      <c r="G70" s="1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14"/>
      <c r="F71" s="12"/>
      <c r="G71" s="1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14"/>
      <c r="F72" s="12"/>
      <c r="G72" s="1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14"/>
      <c r="F73" s="12"/>
      <c r="G73" s="1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14"/>
      <c r="F74" s="12"/>
      <c r="G74" s="1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14"/>
      <c r="F75" s="12"/>
      <c r="G75" s="1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14"/>
      <c r="F76" s="12"/>
      <c r="G76" s="1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14"/>
      <c r="F77" s="12"/>
      <c r="G77" s="1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14"/>
      <c r="F78" s="12"/>
      <c r="G78" s="1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14"/>
      <c r="F79" s="12"/>
      <c r="G79" s="1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14"/>
      <c r="F80" s="12"/>
      <c r="G80" s="1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14"/>
      <c r="F81" s="12"/>
      <c r="G81" s="1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14"/>
      <c r="F82" s="12"/>
      <c r="G82" s="1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14"/>
      <c r="F83" s="12"/>
      <c r="G83" s="1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14"/>
      <c r="F84" s="12"/>
      <c r="G84" s="1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14"/>
      <c r="F85" s="12"/>
      <c r="G85" s="1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14"/>
      <c r="F86" s="12"/>
      <c r="G86" s="1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14"/>
      <c r="F87" s="12"/>
      <c r="G87" s="1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14"/>
      <c r="F88" s="12"/>
      <c r="G88" s="1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14"/>
      <c r="F89" s="12"/>
      <c r="G89" s="1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14"/>
      <c r="F90" s="12"/>
      <c r="G90" s="1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14"/>
      <c r="F91" s="12"/>
      <c r="G91" s="1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14"/>
      <c r="F92" s="12"/>
      <c r="G92" s="1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14"/>
      <c r="F93" s="12"/>
      <c r="G93" s="1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14"/>
      <c r="F94" s="12"/>
      <c r="G94" s="1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14"/>
      <c r="F95" s="12"/>
      <c r="G95" s="1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14"/>
      <c r="F96" s="12"/>
      <c r="G96" s="1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14"/>
      <c r="F97" s="12"/>
      <c r="G97" s="1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14"/>
      <c r="F98" s="12"/>
      <c r="G98" s="1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14"/>
      <c r="F99" s="12"/>
      <c r="G99" s="1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14"/>
      <c r="F100" s="12"/>
      <c r="G100" s="1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14"/>
      <c r="F101" s="12"/>
      <c r="G101" s="1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14"/>
      <c r="F102" s="12"/>
      <c r="G102" s="1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14"/>
      <c r="F103" s="12"/>
      <c r="G103" s="1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14"/>
      <c r="F104" s="12"/>
      <c r="G104" s="1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14"/>
      <c r="F105" s="12"/>
      <c r="G105" s="1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14"/>
      <c r="F106" s="12"/>
      <c r="G106" s="1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14"/>
      <c r="F107" s="12"/>
      <c r="G107" s="1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14"/>
      <c r="F108" s="12"/>
      <c r="G108" s="1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14"/>
      <c r="F109" s="12"/>
      <c r="G109" s="1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14"/>
      <c r="F110" s="12"/>
      <c r="G110" s="1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14"/>
      <c r="F111" s="12"/>
      <c r="G111" s="1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14"/>
      <c r="F112" s="12"/>
      <c r="G112" s="1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14"/>
      <c r="F113" s="12"/>
      <c r="G113" s="1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14"/>
      <c r="F114" s="12"/>
      <c r="G114" s="1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14"/>
      <c r="F115" s="12"/>
      <c r="G115" s="1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14"/>
      <c r="F116" s="12"/>
      <c r="G116" s="1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14"/>
      <c r="F117" s="12"/>
      <c r="G117" s="1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14"/>
      <c r="F118" s="12"/>
      <c r="G118" s="1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14"/>
      <c r="F119" s="12"/>
      <c r="G119" s="1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14"/>
      <c r="F120" s="12"/>
      <c r="G120" s="1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14"/>
      <c r="F121" s="12"/>
      <c r="G121" s="1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14"/>
      <c r="F122" s="12"/>
      <c r="G122" s="1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14"/>
      <c r="F123" s="12"/>
      <c r="G123" s="1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14"/>
      <c r="F124" s="12"/>
      <c r="G124" s="1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14"/>
      <c r="F125" s="12"/>
      <c r="G125" s="1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14"/>
      <c r="F126" s="12"/>
      <c r="G126" s="1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14"/>
      <c r="F127" s="12"/>
      <c r="G127" s="1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14"/>
      <c r="F128" s="12"/>
      <c r="G128" s="1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14"/>
      <c r="F129" s="12"/>
      <c r="G129" s="1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14"/>
      <c r="F130" s="12"/>
      <c r="G130" s="1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14"/>
      <c r="F131" s="12"/>
      <c r="G131" s="1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14"/>
      <c r="F132" s="12"/>
      <c r="G132" s="1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14"/>
      <c r="F133" s="12"/>
      <c r="G133" s="1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14"/>
      <c r="F134" s="12"/>
      <c r="G134" s="1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14"/>
      <c r="F135" s="12"/>
      <c r="G135" s="1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14"/>
      <c r="F136" s="12"/>
      <c r="G136" s="1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14"/>
      <c r="F137" s="12"/>
      <c r="G137" s="1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14"/>
      <c r="F138" s="12"/>
      <c r="G138" s="1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14"/>
      <c r="F139" s="12"/>
      <c r="G139" s="1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14"/>
      <c r="F140" s="12"/>
      <c r="G140" s="1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14"/>
      <c r="F141" s="12"/>
      <c r="G141" s="1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14"/>
      <c r="F142" s="12"/>
      <c r="G142" s="1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14"/>
      <c r="F143" s="12"/>
      <c r="G143" s="1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14"/>
      <c r="F144" s="12"/>
      <c r="G144" s="1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14"/>
      <c r="F145" s="12"/>
      <c r="G145" s="1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14"/>
      <c r="F146" s="12"/>
      <c r="G146" s="1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14"/>
      <c r="F147" s="12"/>
      <c r="G147" s="1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14"/>
      <c r="F148" s="12"/>
      <c r="G148" s="1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14"/>
      <c r="F149" s="12"/>
      <c r="G149" s="1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14"/>
      <c r="F150" s="12"/>
      <c r="G150" s="1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14"/>
      <c r="F151" s="12"/>
      <c r="G151" s="1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14"/>
      <c r="F152" s="12"/>
      <c r="G152" s="1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14"/>
      <c r="F153" s="12"/>
      <c r="G153" s="1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14"/>
      <c r="F154" s="12"/>
      <c r="G154" s="1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14"/>
      <c r="F155" s="12"/>
      <c r="G155" s="1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14"/>
      <c r="F156" s="12"/>
      <c r="G156" s="1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14"/>
      <c r="F157" s="12"/>
      <c r="G157" s="1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14"/>
      <c r="F158" s="12"/>
      <c r="G158" s="1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14"/>
      <c r="F159" s="12"/>
      <c r="G159" s="1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14"/>
      <c r="F160" s="12"/>
      <c r="G160" s="1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14"/>
      <c r="F161" s="12"/>
      <c r="G161" s="1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14"/>
      <c r="F162" s="12"/>
      <c r="G162" s="1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14"/>
      <c r="F163" s="12"/>
      <c r="G163" s="1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14"/>
      <c r="F164" s="12"/>
      <c r="G164" s="1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14"/>
      <c r="F165" s="12"/>
      <c r="G165" s="1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14"/>
      <c r="F166" s="12"/>
      <c r="G166" s="1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14"/>
      <c r="F167" s="12"/>
      <c r="G167" s="1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14"/>
      <c r="F168" s="12"/>
      <c r="G168" s="1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14"/>
      <c r="F169" s="12"/>
      <c r="G169" s="1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14"/>
      <c r="F170" s="12"/>
      <c r="G170" s="1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14"/>
      <c r="F171" s="12"/>
      <c r="G171" s="1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14"/>
      <c r="F172" s="12"/>
      <c r="G172" s="1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14"/>
      <c r="F173" s="12"/>
      <c r="G173" s="1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14"/>
      <c r="F174" s="12"/>
      <c r="G174" s="1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14"/>
      <c r="F175" s="12"/>
      <c r="G175" s="1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14"/>
      <c r="F176" s="12"/>
      <c r="G176" s="1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14"/>
      <c r="F177" s="12"/>
      <c r="G177" s="1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14"/>
      <c r="F178" s="12"/>
      <c r="G178" s="1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14"/>
      <c r="F179" s="12"/>
      <c r="G179" s="1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14"/>
      <c r="F180" s="12"/>
      <c r="G180" s="1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14"/>
      <c r="F181" s="12"/>
      <c r="G181" s="1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14"/>
      <c r="F182" s="12"/>
      <c r="G182" s="1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14"/>
      <c r="F183" s="12"/>
      <c r="G183" s="1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14"/>
      <c r="F184" s="12"/>
      <c r="G184" s="1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14"/>
      <c r="F185" s="12"/>
      <c r="G185" s="1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14"/>
      <c r="F186" s="12"/>
      <c r="G186" s="1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14"/>
      <c r="F187" s="12"/>
      <c r="G187" s="1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14"/>
      <c r="F188" s="12"/>
      <c r="G188" s="1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14"/>
      <c r="F189" s="12"/>
      <c r="G189" s="1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14"/>
      <c r="F190" s="12"/>
      <c r="G190" s="1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14"/>
      <c r="F191" s="12"/>
      <c r="G191" s="1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14"/>
      <c r="F192" s="12"/>
      <c r="G192" s="1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14"/>
      <c r="F193" s="12"/>
      <c r="G193" s="1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14"/>
      <c r="F194" s="12"/>
      <c r="G194" s="1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14"/>
      <c r="F195" s="12"/>
      <c r="G195" s="1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14"/>
      <c r="F196" s="12"/>
      <c r="G196" s="1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14"/>
      <c r="F197" s="12"/>
      <c r="G197" s="1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14"/>
      <c r="F198" s="12"/>
      <c r="G198" s="1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14"/>
      <c r="F199" s="12"/>
      <c r="G199" s="1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14"/>
      <c r="F200" s="12"/>
      <c r="G200" s="1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8:K8"/>
  </mergeCells>
  <dataValidations count="2">
    <dataValidation type="list" sqref="B4:B200" xr:uid="{00000000-0002-0000-0900-000000000000}">
      <formula1>"HK,KP,KS"</formula1>
    </dataValidation>
    <dataValidation type="list" sqref="H4:H200" xr:uid="{00000000-0002-0000-0900-000001000000}">
      <formula1>"Aktif,Tidak Aktif"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>
      <selection sqref="A1:K1"/>
    </sheetView>
  </sheetViews>
  <sheetFormatPr defaultRowHeight="14"/>
  <cols>
    <col min="1" max="1" width="18" customWidth="1"/>
    <col min="2" max="2" width="52" customWidth="1"/>
    <col min="3" max="3" width="16" customWidth="1"/>
    <col min="4" max="6" width="14" customWidth="1"/>
    <col min="7" max="7" width="68" customWidth="1"/>
  </cols>
  <sheetData>
    <row r="1" spans="1:26" ht="16" customHeight="1">
      <c r="A1" s="18" t="s">
        <v>183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26" ht="22.65" customHeight="1">
      <c r="A3" s="5" t="s">
        <v>184</v>
      </c>
      <c r="B3" s="5" t="s">
        <v>185</v>
      </c>
      <c r="C3" s="5" t="s">
        <v>186</v>
      </c>
      <c r="D3" s="5" t="s">
        <v>187</v>
      </c>
      <c r="E3" s="5" t="s">
        <v>172</v>
      </c>
      <c r="F3" s="5" t="s">
        <v>173</v>
      </c>
      <c r="G3" s="5" t="s">
        <v>85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" t="s">
        <v>73</v>
      </c>
      <c r="B4" s="6" t="s">
        <v>188</v>
      </c>
      <c r="C4" s="6" t="s">
        <v>52</v>
      </c>
      <c r="D4" s="13">
        <v>0.33300000000000002</v>
      </c>
      <c r="E4" s="11">
        <v>1</v>
      </c>
      <c r="F4" s="11">
        <v>5</v>
      </c>
      <c r="G4" s="6" t="s">
        <v>189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">
      <c r="A5" s="6" t="s">
        <v>190</v>
      </c>
      <c r="B5" s="6" t="s">
        <v>191</v>
      </c>
      <c r="C5" s="6" t="s">
        <v>47</v>
      </c>
      <c r="D5" s="13">
        <v>0.26700000000000002</v>
      </c>
      <c r="E5" s="11">
        <v>1</v>
      </c>
      <c r="F5" s="11">
        <v>5</v>
      </c>
      <c r="G5" s="6" t="s">
        <v>192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 t="s">
        <v>193</v>
      </c>
      <c r="B6" s="6" t="s">
        <v>194</v>
      </c>
      <c r="C6" s="6" t="s">
        <v>47</v>
      </c>
      <c r="D6" s="13">
        <v>0.2</v>
      </c>
      <c r="E6" s="11">
        <v>1</v>
      </c>
      <c r="F6" s="11">
        <v>5</v>
      </c>
      <c r="G6" s="6" t="s">
        <v>195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6" t="s">
        <v>196</v>
      </c>
      <c r="B7" s="6" t="s">
        <v>197</v>
      </c>
      <c r="C7" s="6" t="s">
        <v>47</v>
      </c>
      <c r="D7" s="13">
        <v>0.13300000000000001</v>
      </c>
      <c r="E7" s="11">
        <v>1</v>
      </c>
      <c r="F7" s="11">
        <v>5</v>
      </c>
      <c r="G7" s="6" t="s">
        <v>198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6" t="s">
        <v>199</v>
      </c>
      <c r="B8" s="6" t="s">
        <v>200</v>
      </c>
      <c r="C8" s="6" t="s">
        <v>52</v>
      </c>
      <c r="D8" s="13">
        <v>6.7000000000000004E-2</v>
      </c>
      <c r="E8" s="11">
        <v>1</v>
      </c>
      <c r="F8" s="11">
        <v>5</v>
      </c>
      <c r="G8" s="6" t="s">
        <v>201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14"/>
      <c r="E9" s="12"/>
      <c r="F9" s="1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2" customHeight="1">
      <c r="A10" s="20" t="s">
        <v>202</v>
      </c>
      <c r="B10" s="21"/>
      <c r="C10" s="21"/>
      <c r="D10" s="26"/>
      <c r="E10" s="25"/>
      <c r="F10" s="25"/>
      <c r="G10" s="21"/>
      <c r="H10" s="21"/>
      <c r="I10" s="21"/>
      <c r="J10" s="21"/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5" t="s">
        <v>203</v>
      </c>
      <c r="B11" s="15" t="s">
        <v>204</v>
      </c>
      <c r="C11" s="15">
        <f>SUM(D4:D8)</f>
        <v>1</v>
      </c>
      <c r="D11" s="14"/>
      <c r="E11" s="12"/>
      <c r="F11" s="1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14"/>
      <c r="E12" s="12"/>
      <c r="F12" s="1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14"/>
      <c r="E13" s="12"/>
      <c r="F13" s="1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14"/>
      <c r="E14" s="12"/>
      <c r="F14" s="1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14"/>
      <c r="E15" s="12"/>
      <c r="F15" s="1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14"/>
      <c r="E16" s="12"/>
      <c r="F16" s="1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14"/>
      <c r="E17" s="12"/>
      <c r="F17" s="1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14"/>
      <c r="E18" s="12"/>
      <c r="F18" s="1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14"/>
      <c r="E19" s="12"/>
      <c r="F19" s="1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14"/>
      <c r="E20" s="12"/>
      <c r="F20" s="1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14"/>
      <c r="E21" s="12"/>
      <c r="F21" s="1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14"/>
      <c r="E22" s="12"/>
      <c r="F22" s="1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14"/>
      <c r="E23" s="12"/>
      <c r="F23" s="1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14"/>
      <c r="E24" s="12"/>
      <c r="F24" s="1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14"/>
      <c r="E25" s="12"/>
      <c r="F25" s="1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14"/>
      <c r="E26" s="12"/>
      <c r="F26" s="1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14"/>
      <c r="E27" s="12"/>
      <c r="F27" s="1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14"/>
      <c r="E28" s="12"/>
      <c r="F28" s="1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14"/>
      <c r="E29" s="12"/>
      <c r="F29" s="1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14"/>
      <c r="E30" s="12"/>
      <c r="F30" s="1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14"/>
      <c r="E31" s="12"/>
      <c r="F31" s="1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14"/>
      <c r="E32" s="12"/>
      <c r="F32" s="1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14"/>
      <c r="E33" s="12"/>
      <c r="F33" s="1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14"/>
      <c r="E34" s="12"/>
      <c r="F34" s="1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14"/>
      <c r="E35" s="12"/>
      <c r="F35" s="1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14"/>
      <c r="E36" s="12"/>
      <c r="F36" s="1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14"/>
      <c r="E37" s="12"/>
      <c r="F37" s="1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14"/>
      <c r="E38" s="12"/>
      <c r="F38" s="1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14"/>
      <c r="E39" s="12"/>
      <c r="F39" s="1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14"/>
      <c r="E40" s="12"/>
      <c r="F40" s="1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14"/>
      <c r="E41" s="12"/>
      <c r="F41" s="1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14"/>
      <c r="E42" s="12"/>
      <c r="F42" s="1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14"/>
      <c r="E43" s="12"/>
      <c r="F43" s="1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14"/>
      <c r="E44" s="12"/>
      <c r="F44" s="1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14"/>
      <c r="E45" s="12"/>
      <c r="F45" s="1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14"/>
      <c r="E46" s="12"/>
      <c r="F46" s="1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14"/>
      <c r="E47" s="12"/>
      <c r="F47" s="1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14"/>
      <c r="E48" s="12"/>
      <c r="F48" s="1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14"/>
      <c r="E49" s="12"/>
      <c r="F49" s="1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14"/>
      <c r="E50" s="12"/>
      <c r="F50" s="1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14"/>
      <c r="E51" s="12"/>
      <c r="F51" s="1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14"/>
      <c r="E52" s="12"/>
      <c r="F52" s="1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14"/>
      <c r="E53" s="12"/>
      <c r="F53" s="1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14"/>
      <c r="E54" s="12"/>
      <c r="F54" s="1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14"/>
      <c r="E55" s="12"/>
      <c r="F55" s="1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14"/>
      <c r="E56" s="12"/>
      <c r="F56" s="1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14"/>
      <c r="E57" s="12"/>
      <c r="F57" s="1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14"/>
      <c r="E58" s="12"/>
      <c r="F58" s="1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14"/>
      <c r="E59" s="12"/>
      <c r="F59" s="1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14"/>
      <c r="E60" s="12"/>
      <c r="F60" s="1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14"/>
      <c r="E61" s="12"/>
      <c r="F61" s="1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14"/>
      <c r="E62" s="12"/>
      <c r="F62" s="1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14"/>
      <c r="E63" s="12"/>
      <c r="F63" s="1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14"/>
      <c r="E64" s="12"/>
      <c r="F64" s="1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14"/>
      <c r="E65" s="12"/>
      <c r="F65" s="1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14"/>
      <c r="E66" s="12"/>
      <c r="F66" s="1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14"/>
      <c r="E67" s="12"/>
      <c r="F67" s="1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14"/>
      <c r="E68" s="12"/>
      <c r="F68" s="1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14"/>
      <c r="E69" s="12"/>
      <c r="F69" s="1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14"/>
      <c r="E70" s="12"/>
      <c r="F70" s="1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14"/>
      <c r="E71" s="12"/>
      <c r="F71" s="1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14"/>
      <c r="E72" s="12"/>
      <c r="F72" s="1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14"/>
      <c r="E73" s="12"/>
      <c r="F73" s="1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14"/>
      <c r="E74" s="12"/>
      <c r="F74" s="1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14"/>
      <c r="E75" s="12"/>
      <c r="F75" s="1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14"/>
      <c r="E76" s="12"/>
      <c r="F76" s="1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14"/>
      <c r="E77" s="12"/>
      <c r="F77" s="1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14"/>
      <c r="E78" s="12"/>
      <c r="F78" s="1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14"/>
      <c r="E79" s="12"/>
      <c r="F79" s="1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14"/>
      <c r="E80" s="12"/>
      <c r="F80" s="1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14"/>
      <c r="E81" s="12"/>
      <c r="F81" s="1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14"/>
      <c r="E82" s="12"/>
      <c r="F82" s="1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14"/>
      <c r="E83" s="12"/>
      <c r="F83" s="1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14"/>
      <c r="E84" s="12"/>
      <c r="F84" s="1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14"/>
      <c r="E85" s="12"/>
      <c r="F85" s="1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14"/>
      <c r="E86" s="12"/>
      <c r="F86" s="1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14"/>
      <c r="E87" s="12"/>
      <c r="F87" s="1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14"/>
      <c r="E88" s="12"/>
      <c r="F88" s="1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14"/>
      <c r="E89" s="12"/>
      <c r="F89" s="1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14"/>
      <c r="E90" s="12"/>
      <c r="F90" s="1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14"/>
      <c r="E91" s="12"/>
      <c r="F91" s="1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14"/>
      <c r="E92" s="12"/>
      <c r="F92" s="1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14"/>
      <c r="E93" s="12"/>
      <c r="F93" s="1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14"/>
      <c r="E94" s="12"/>
      <c r="F94" s="1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14"/>
      <c r="E95" s="12"/>
      <c r="F95" s="1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14"/>
      <c r="E96" s="12"/>
      <c r="F96" s="1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14"/>
      <c r="E97" s="12"/>
      <c r="F97" s="1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14"/>
      <c r="E98" s="12"/>
      <c r="F98" s="1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14"/>
      <c r="E99" s="12"/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14"/>
      <c r="E100" s="12"/>
      <c r="F100" s="1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14"/>
      <c r="E101" s="12"/>
      <c r="F101" s="1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14"/>
      <c r="E102" s="12"/>
      <c r="F102" s="1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14"/>
      <c r="E103" s="12"/>
      <c r="F103" s="1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14"/>
      <c r="E104" s="12"/>
      <c r="F104" s="1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14"/>
      <c r="E105" s="12"/>
      <c r="F105" s="1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14"/>
      <c r="E106" s="12"/>
      <c r="F106" s="1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14"/>
      <c r="E107" s="12"/>
      <c r="F107" s="1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14"/>
      <c r="E108" s="12"/>
      <c r="F108" s="1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14"/>
      <c r="E109" s="12"/>
      <c r="F109" s="1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14"/>
      <c r="E110" s="12"/>
      <c r="F110" s="1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14"/>
      <c r="E111" s="12"/>
      <c r="F111" s="1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14"/>
      <c r="E112" s="12"/>
      <c r="F112" s="1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14"/>
      <c r="E113" s="12"/>
      <c r="F113" s="1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14"/>
      <c r="E114" s="12"/>
      <c r="F114" s="1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14"/>
      <c r="E115" s="12"/>
      <c r="F115" s="1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14"/>
      <c r="E116" s="12"/>
      <c r="F116" s="1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14"/>
      <c r="E117" s="12"/>
      <c r="F117" s="1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14"/>
      <c r="E118" s="12"/>
      <c r="F118" s="1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14"/>
      <c r="E119" s="12"/>
      <c r="F119" s="1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14"/>
      <c r="E120" s="12"/>
      <c r="F120" s="1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14"/>
      <c r="E121" s="12"/>
      <c r="F121" s="1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14"/>
      <c r="E122" s="12"/>
      <c r="F122" s="1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14"/>
      <c r="E123" s="12"/>
      <c r="F123" s="1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14"/>
      <c r="E124" s="12"/>
      <c r="F124" s="1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14"/>
      <c r="E125" s="12"/>
      <c r="F125" s="1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14"/>
      <c r="E126" s="12"/>
      <c r="F126" s="1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14"/>
      <c r="E127" s="12"/>
      <c r="F127" s="1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14"/>
      <c r="E128" s="12"/>
      <c r="F128" s="1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14"/>
      <c r="E129" s="12"/>
      <c r="F129" s="1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14"/>
      <c r="E130" s="12"/>
      <c r="F130" s="1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14"/>
      <c r="E131" s="12"/>
      <c r="F131" s="1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14"/>
      <c r="E132" s="12"/>
      <c r="F132" s="1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14"/>
      <c r="E133" s="12"/>
      <c r="F133" s="1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14"/>
      <c r="E134" s="12"/>
      <c r="F134" s="1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14"/>
      <c r="E135" s="12"/>
      <c r="F135" s="1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14"/>
      <c r="E136" s="12"/>
      <c r="F136" s="1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14"/>
      <c r="E137" s="12"/>
      <c r="F137" s="1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14"/>
      <c r="E138" s="12"/>
      <c r="F138" s="1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14"/>
      <c r="E139" s="12"/>
      <c r="F139" s="1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14"/>
      <c r="E140" s="12"/>
      <c r="F140" s="1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14"/>
      <c r="E141" s="12"/>
      <c r="F141" s="1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14"/>
      <c r="E142" s="12"/>
      <c r="F142" s="1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14"/>
      <c r="E143" s="12"/>
      <c r="F143" s="1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14"/>
      <c r="E144" s="12"/>
      <c r="F144" s="1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14"/>
      <c r="E145" s="12"/>
      <c r="F145" s="1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14"/>
      <c r="E146" s="12"/>
      <c r="F146" s="1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14"/>
      <c r="E147" s="12"/>
      <c r="F147" s="1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14"/>
      <c r="E148" s="12"/>
      <c r="F148" s="1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14"/>
      <c r="E149" s="12"/>
      <c r="F149" s="1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14"/>
      <c r="E150" s="12"/>
      <c r="F150" s="1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14"/>
      <c r="E151" s="12"/>
      <c r="F151" s="1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14"/>
      <c r="E152" s="12"/>
      <c r="F152" s="1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14"/>
      <c r="E153" s="12"/>
      <c r="F153" s="1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14"/>
      <c r="E154" s="12"/>
      <c r="F154" s="1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14"/>
      <c r="E155" s="12"/>
      <c r="F155" s="1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14"/>
      <c r="E156" s="12"/>
      <c r="F156" s="1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14"/>
      <c r="E157" s="12"/>
      <c r="F157" s="1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14"/>
      <c r="E158" s="12"/>
      <c r="F158" s="1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14"/>
      <c r="E159" s="12"/>
      <c r="F159" s="1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14"/>
      <c r="E160" s="12"/>
      <c r="F160" s="1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14"/>
      <c r="E161" s="12"/>
      <c r="F161" s="1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14"/>
      <c r="E162" s="12"/>
      <c r="F162" s="1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14"/>
      <c r="E163" s="12"/>
      <c r="F163" s="1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14"/>
      <c r="E164" s="12"/>
      <c r="F164" s="1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14"/>
      <c r="E165" s="12"/>
      <c r="F165" s="1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14"/>
      <c r="E166" s="12"/>
      <c r="F166" s="1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14"/>
      <c r="E167" s="12"/>
      <c r="F167" s="1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14"/>
      <c r="E168" s="12"/>
      <c r="F168" s="1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14"/>
      <c r="E169" s="12"/>
      <c r="F169" s="1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14"/>
      <c r="E170" s="12"/>
      <c r="F170" s="1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14"/>
      <c r="E171" s="12"/>
      <c r="F171" s="1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14"/>
      <c r="E172" s="12"/>
      <c r="F172" s="1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14"/>
      <c r="E173" s="12"/>
      <c r="F173" s="1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14"/>
      <c r="E174" s="12"/>
      <c r="F174" s="1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14"/>
      <c r="E175" s="12"/>
      <c r="F175" s="1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14"/>
      <c r="E176" s="12"/>
      <c r="F176" s="1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14"/>
      <c r="E177" s="12"/>
      <c r="F177" s="1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14"/>
      <c r="E178" s="12"/>
      <c r="F178" s="1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14"/>
      <c r="E179" s="12"/>
      <c r="F179" s="1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14"/>
      <c r="E180" s="12"/>
      <c r="F180" s="1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14"/>
      <c r="E181" s="12"/>
      <c r="F181" s="1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14"/>
      <c r="E182" s="12"/>
      <c r="F182" s="1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14"/>
      <c r="E183" s="12"/>
      <c r="F183" s="1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14"/>
      <c r="E184" s="12"/>
      <c r="F184" s="1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14"/>
      <c r="E185" s="12"/>
      <c r="F185" s="1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14"/>
      <c r="E186" s="12"/>
      <c r="F186" s="1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14"/>
      <c r="E187" s="12"/>
      <c r="F187" s="1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14"/>
      <c r="E188" s="12"/>
      <c r="F188" s="1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14"/>
      <c r="E189" s="12"/>
      <c r="F189" s="1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14"/>
      <c r="E190" s="12"/>
      <c r="F190" s="1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14"/>
      <c r="E191" s="12"/>
      <c r="F191" s="1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14"/>
      <c r="E192" s="12"/>
      <c r="F192" s="1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14"/>
      <c r="E193" s="12"/>
      <c r="F193" s="1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14"/>
      <c r="E194" s="12"/>
      <c r="F194" s="1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14"/>
      <c r="E195" s="12"/>
      <c r="F195" s="1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14"/>
      <c r="E196" s="12"/>
      <c r="F196" s="1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14"/>
      <c r="E197" s="12"/>
      <c r="F197" s="1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14"/>
      <c r="E198" s="12"/>
      <c r="F198" s="1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14"/>
      <c r="E199" s="12"/>
      <c r="F199" s="1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14"/>
      <c r="E200" s="12"/>
      <c r="F200" s="1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10:K10"/>
  </mergeCells>
  <conditionalFormatting sqref="C11">
    <cfRule type="cellIs" dxfId="0" priority="1" operator="notEqual">
      <formula>1</formula>
    </cfRule>
  </conditionalFormatting>
  <dataValidations count="1">
    <dataValidation type="list" sqref="C4:C200" xr:uid="{00000000-0002-0000-0A00-000000000000}">
      <formula1>"Benefit,Cost"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workbookViewId="0">
      <selection sqref="A1:K1"/>
    </sheetView>
  </sheetViews>
  <sheetFormatPr defaultRowHeight="14"/>
  <cols>
    <col min="1" max="1" width="20" customWidth="1"/>
    <col min="2" max="2" width="36" customWidth="1"/>
    <col min="3" max="5" width="18" customWidth="1"/>
    <col min="6" max="6" width="44" customWidth="1"/>
  </cols>
  <sheetData>
    <row r="1" spans="1:26" ht="16" customHeight="1">
      <c r="A1" s="18" t="s">
        <v>205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26" ht="22.65" customHeight="1">
      <c r="A3" s="5" t="s">
        <v>206</v>
      </c>
      <c r="B3" s="5" t="s">
        <v>207</v>
      </c>
      <c r="C3" s="5" t="s">
        <v>132</v>
      </c>
      <c r="D3" s="5" t="s">
        <v>133</v>
      </c>
      <c r="E3" s="5" t="s">
        <v>43</v>
      </c>
      <c r="F3" s="5" t="s">
        <v>85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" t="s">
        <v>69</v>
      </c>
      <c r="B4" s="6" t="s">
        <v>208</v>
      </c>
      <c r="C4" s="8">
        <v>46023</v>
      </c>
      <c r="D4" s="8">
        <v>46203</v>
      </c>
      <c r="E4" s="6" t="s">
        <v>48</v>
      </c>
      <c r="F4" s="6" t="s">
        <v>209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 t="s">
        <v>210</v>
      </c>
      <c r="B5" s="6" t="s">
        <v>211</v>
      </c>
      <c r="C5" s="8">
        <v>46204</v>
      </c>
      <c r="D5" s="8">
        <v>46387</v>
      </c>
      <c r="E5" s="6" t="s">
        <v>48</v>
      </c>
      <c r="F5" s="6" t="s">
        <v>209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10"/>
      <c r="D6" s="1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 customHeight="1">
      <c r="A7" s="20" t="s">
        <v>212</v>
      </c>
      <c r="B7" s="21"/>
      <c r="C7" s="23"/>
      <c r="D7" s="23"/>
      <c r="E7" s="21"/>
      <c r="F7" s="21"/>
      <c r="G7" s="21"/>
      <c r="H7" s="21"/>
      <c r="I7" s="21"/>
      <c r="J7" s="21"/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10"/>
      <c r="D8" s="1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10"/>
      <c r="D9" s="1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10"/>
      <c r="D10" s="1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10"/>
      <c r="D11" s="1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10"/>
      <c r="D12" s="1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10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10"/>
      <c r="D14" s="1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10"/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10"/>
      <c r="D16" s="1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10"/>
      <c r="D17" s="1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10"/>
      <c r="D18" s="1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10"/>
      <c r="D19" s="1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10"/>
      <c r="D20" s="1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10"/>
      <c r="D21" s="1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10"/>
      <c r="D22" s="1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10"/>
      <c r="D23" s="1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10"/>
      <c r="D24" s="1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10"/>
      <c r="D25" s="1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10"/>
      <c r="D26" s="1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10"/>
      <c r="D27" s="1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10"/>
      <c r="D28" s="1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10"/>
      <c r="D29" s="1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10"/>
      <c r="D30" s="1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10"/>
      <c r="D31" s="1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10"/>
      <c r="D32" s="10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10"/>
      <c r="D33" s="1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10"/>
      <c r="D34" s="1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10"/>
      <c r="D35" s="1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10"/>
      <c r="D36" s="1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10"/>
      <c r="D37" s="1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10"/>
      <c r="D38" s="1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10"/>
      <c r="D39" s="1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10"/>
      <c r="D40" s="10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10"/>
      <c r="D41" s="1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10"/>
      <c r="D42" s="10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10"/>
      <c r="D43" s="1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10"/>
      <c r="D44" s="10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10"/>
      <c r="D45" s="10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10"/>
      <c r="D46" s="10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10"/>
      <c r="D47" s="10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10"/>
      <c r="D48" s="10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10"/>
      <c r="D49" s="1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10"/>
      <c r="D50" s="1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10"/>
      <c r="D51" s="10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10"/>
      <c r="D52" s="10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10"/>
      <c r="D53" s="10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10"/>
      <c r="D54" s="10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10"/>
      <c r="D55" s="10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10"/>
      <c r="D56" s="10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10"/>
      <c r="D57" s="10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10"/>
      <c r="D58" s="10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10"/>
      <c r="D59" s="10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10"/>
      <c r="D60" s="10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10"/>
      <c r="D61" s="10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10"/>
      <c r="D62" s="10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10"/>
      <c r="D63" s="1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10"/>
      <c r="D64" s="1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10"/>
      <c r="D65" s="1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10"/>
      <c r="D66" s="1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10"/>
      <c r="D67" s="1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10"/>
      <c r="D68" s="10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10"/>
      <c r="D69" s="1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10"/>
      <c r="D70" s="1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10"/>
      <c r="D71" s="1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10"/>
      <c r="D72" s="1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10"/>
      <c r="D73" s="1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10"/>
      <c r="D74" s="1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10"/>
      <c r="D75" s="1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10"/>
      <c r="D76" s="1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10"/>
      <c r="D77" s="1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10"/>
      <c r="D78" s="10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10"/>
      <c r="D79" s="10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10"/>
      <c r="D80" s="10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10"/>
      <c r="D81" s="1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10"/>
      <c r="D82" s="1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10"/>
      <c r="D83" s="1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10"/>
      <c r="D84" s="1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10"/>
      <c r="D85" s="1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10"/>
      <c r="D86" s="1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10"/>
      <c r="D87" s="1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10"/>
      <c r="D88" s="1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10"/>
      <c r="D89" s="1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10"/>
      <c r="D90" s="1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10"/>
      <c r="D91" s="1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10"/>
      <c r="D92" s="1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10"/>
      <c r="D93" s="1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10"/>
      <c r="D94" s="1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10"/>
      <c r="D95" s="1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10"/>
      <c r="D96" s="1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10"/>
      <c r="D97" s="1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10"/>
      <c r="D98" s="1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10"/>
      <c r="D99" s="1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10"/>
      <c r="D100" s="1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10"/>
      <c r="D101" s="1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10"/>
      <c r="D102" s="1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10"/>
      <c r="D103" s="1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10"/>
      <c r="D104" s="1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10"/>
      <c r="D105" s="1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10"/>
      <c r="D106" s="1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10"/>
      <c r="D107" s="1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10"/>
      <c r="D108" s="1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10"/>
      <c r="D109" s="1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10"/>
      <c r="D110" s="1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10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10"/>
      <c r="D112" s="1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10"/>
      <c r="D113" s="1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10"/>
      <c r="D114" s="1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10"/>
      <c r="D115" s="1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10"/>
      <c r="D116" s="1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10"/>
      <c r="D117" s="1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10"/>
      <c r="D118" s="1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10"/>
      <c r="D119" s="1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10"/>
      <c r="D120" s="1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10"/>
      <c r="D121" s="1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10"/>
      <c r="D122" s="1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10"/>
      <c r="D123" s="1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10"/>
      <c r="D124" s="1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10"/>
      <c r="D125" s="1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10"/>
      <c r="D126" s="1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10"/>
      <c r="D127" s="1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10"/>
      <c r="D128" s="1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10"/>
      <c r="D129" s="1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10"/>
      <c r="D130" s="10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10"/>
      <c r="D131" s="10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10"/>
      <c r="D132" s="10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10"/>
      <c r="D133" s="1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10"/>
      <c r="D134" s="1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10"/>
      <c r="D135" s="10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10"/>
      <c r="D136" s="10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10"/>
      <c r="D137" s="1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10"/>
      <c r="D138" s="1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10"/>
      <c r="D139" s="1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10"/>
      <c r="D140" s="10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10"/>
      <c r="D141" s="10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10"/>
      <c r="D142" s="10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10"/>
      <c r="D143" s="1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10"/>
      <c r="D144" s="10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10"/>
      <c r="D145" s="10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10"/>
      <c r="D146" s="10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10"/>
      <c r="D147" s="1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10"/>
      <c r="D148" s="10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10"/>
      <c r="D149" s="10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10"/>
      <c r="D150" s="10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10"/>
      <c r="D151" s="10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10"/>
      <c r="D152" s="1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10"/>
      <c r="D153" s="1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10"/>
      <c r="D154" s="1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10"/>
      <c r="D155" s="1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10"/>
      <c r="D156" s="1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10"/>
      <c r="D157" s="1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10"/>
      <c r="D158" s="1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10"/>
      <c r="D159" s="1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10"/>
      <c r="D160" s="1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10"/>
      <c r="D161" s="10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10"/>
      <c r="D162" s="10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10"/>
      <c r="D163" s="10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10"/>
      <c r="D164" s="10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10"/>
      <c r="D165" s="10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10"/>
      <c r="D166" s="10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10"/>
      <c r="D167" s="10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10"/>
      <c r="D168" s="10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10"/>
      <c r="D169" s="10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10"/>
      <c r="D170" s="10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10"/>
      <c r="D171" s="10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10"/>
      <c r="D172" s="10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10"/>
      <c r="D173" s="10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10"/>
      <c r="D174" s="10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10"/>
      <c r="D175" s="10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10"/>
      <c r="D176" s="10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10"/>
      <c r="D177" s="10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10"/>
      <c r="D178" s="1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10"/>
      <c r="D179" s="1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10"/>
      <c r="D180" s="10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10"/>
      <c r="D181" s="10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10"/>
      <c r="D182" s="10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10"/>
      <c r="D183" s="10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10"/>
      <c r="D184" s="10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10"/>
      <c r="D185" s="10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10"/>
      <c r="D186" s="10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10"/>
      <c r="D187" s="10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10"/>
      <c r="D188" s="10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10"/>
      <c r="D189" s="10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10"/>
      <c r="D190" s="10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10"/>
      <c r="D191" s="10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10"/>
      <c r="D192" s="10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10"/>
      <c r="D193" s="10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10"/>
      <c r="D194" s="10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10"/>
      <c r="D195" s="10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10"/>
      <c r="D196" s="10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10"/>
      <c r="D197" s="10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10"/>
      <c r="D198" s="10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10"/>
      <c r="D199" s="10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10"/>
      <c r="D200" s="10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7:K7"/>
  </mergeCells>
  <dataValidations count="1">
    <dataValidation type="list" sqref="E4:E200" xr:uid="{00000000-0002-0000-0B00-000000000000}">
      <formula1>"Draft,Berjalan,Dikunci,Selesai,Batal"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00"/>
  <sheetViews>
    <sheetView workbookViewId="0">
      <selection sqref="A1:K1"/>
    </sheetView>
  </sheetViews>
  <sheetFormatPr defaultRowHeight="14"/>
  <cols>
    <col min="1" max="1" width="20" customWidth="1"/>
    <col min="2" max="2" width="22" customWidth="1"/>
    <col min="3" max="3" width="20" customWidth="1"/>
    <col min="4" max="4" width="18" customWidth="1"/>
    <col min="5" max="5" width="58" customWidth="1"/>
    <col min="6" max="6" width="22" customWidth="1"/>
    <col min="7" max="7" width="20" customWidth="1"/>
  </cols>
  <sheetData>
    <row r="1" spans="1:26" ht="16" customHeight="1">
      <c r="A1" s="18" t="s">
        <v>213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26" ht="22.65" customHeight="1">
      <c r="A3" s="5" t="s">
        <v>206</v>
      </c>
      <c r="B3" s="5" t="s">
        <v>107</v>
      </c>
      <c r="C3" s="5" t="s">
        <v>169</v>
      </c>
      <c r="D3" s="5" t="s">
        <v>214</v>
      </c>
      <c r="E3" s="5" t="s">
        <v>215</v>
      </c>
      <c r="F3" s="5" t="s">
        <v>216</v>
      </c>
      <c r="G3" s="5" t="s">
        <v>217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" t="s">
        <v>69</v>
      </c>
      <c r="B4" s="7" t="s">
        <v>115</v>
      </c>
      <c r="C4" s="6" t="s">
        <v>71</v>
      </c>
      <c r="D4" s="11">
        <v>3</v>
      </c>
      <c r="E4" s="6" t="s">
        <v>218</v>
      </c>
      <c r="F4" s="7" t="s">
        <v>219</v>
      </c>
      <c r="G4" s="8">
        <v>46188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 t="s">
        <v>69</v>
      </c>
      <c r="B5" s="7" t="s">
        <v>120</v>
      </c>
      <c r="C5" s="6" t="s">
        <v>176</v>
      </c>
      <c r="D5" s="11">
        <v>2</v>
      </c>
      <c r="E5" s="6" t="s">
        <v>220</v>
      </c>
      <c r="F5" s="7" t="s">
        <v>219</v>
      </c>
      <c r="G5" s="8">
        <v>46188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 t="s">
        <v>69</v>
      </c>
      <c r="B6" s="7" t="s">
        <v>125</v>
      </c>
      <c r="C6" s="6" t="s">
        <v>179</v>
      </c>
      <c r="D6" s="11">
        <v>4</v>
      </c>
      <c r="E6" s="6" t="s">
        <v>221</v>
      </c>
      <c r="F6" s="7" t="s">
        <v>219</v>
      </c>
      <c r="G6" s="8">
        <v>46188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9"/>
      <c r="C7" s="2"/>
      <c r="D7" s="12"/>
      <c r="E7" s="2"/>
      <c r="F7" s="9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2" customHeight="1">
      <c r="A8" s="20" t="s">
        <v>222</v>
      </c>
      <c r="B8" s="24"/>
      <c r="C8" s="21"/>
      <c r="D8" s="25"/>
      <c r="E8" s="21"/>
      <c r="F8" s="24"/>
      <c r="G8" s="23"/>
      <c r="H8" s="21"/>
      <c r="I8" s="21"/>
      <c r="J8" s="21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9"/>
      <c r="C9" s="2"/>
      <c r="D9" s="12"/>
      <c r="E9" s="2"/>
      <c r="F9" s="9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9"/>
      <c r="C10" s="2"/>
      <c r="D10" s="12"/>
      <c r="E10" s="2"/>
      <c r="F10" s="9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9"/>
      <c r="C11" s="2"/>
      <c r="D11" s="12"/>
      <c r="E11" s="2"/>
      <c r="F11" s="9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9"/>
      <c r="C12" s="2"/>
      <c r="D12" s="12"/>
      <c r="E12" s="2"/>
      <c r="F12" s="9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9"/>
      <c r="C13" s="2"/>
      <c r="D13" s="12"/>
      <c r="E13" s="2"/>
      <c r="F13" s="9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9"/>
      <c r="C14" s="2"/>
      <c r="D14" s="12"/>
      <c r="E14" s="2"/>
      <c r="F14" s="9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9"/>
      <c r="C15" s="2"/>
      <c r="D15" s="12"/>
      <c r="E15" s="2"/>
      <c r="F15" s="9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9"/>
      <c r="C16" s="2"/>
      <c r="D16" s="12"/>
      <c r="E16" s="2"/>
      <c r="F16" s="9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9"/>
      <c r="C17" s="2"/>
      <c r="D17" s="12"/>
      <c r="E17" s="2"/>
      <c r="F17" s="9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9"/>
      <c r="C18" s="2"/>
      <c r="D18" s="12"/>
      <c r="E18" s="2"/>
      <c r="F18" s="9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9"/>
      <c r="C19" s="2"/>
      <c r="D19" s="12"/>
      <c r="E19" s="2"/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9"/>
      <c r="C20" s="2"/>
      <c r="D20" s="12"/>
      <c r="E20" s="2"/>
      <c r="F20" s="9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9"/>
      <c r="C21" s="2"/>
      <c r="D21" s="12"/>
      <c r="E21" s="2"/>
      <c r="F21" s="9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9"/>
      <c r="C22" s="2"/>
      <c r="D22" s="12"/>
      <c r="E22" s="2"/>
      <c r="F22" s="9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9"/>
      <c r="C23" s="2"/>
      <c r="D23" s="12"/>
      <c r="E23" s="2"/>
      <c r="F23" s="9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9"/>
      <c r="C24" s="2"/>
      <c r="D24" s="12"/>
      <c r="E24" s="2"/>
      <c r="F24" s="9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9"/>
      <c r="C25" s="2"/>
      <c r="D25" s="12"/>
      <c r="E25" s="2"/>
      <c r="F25" s="9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9"/>
      <c r="C26" s="2"/>
      <c r="D26" s="12"/>
      <c r="E26" s="2"/>
      <c r="F26" s="9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9"/>
      <c r="C27" s="2"/>
      <c r="D27" s="12"/>
      <c r="E27" s="2"/>
      <c r="F27" s="9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9"/>
      <c r="C28" s="2"/>
      <c r="D28" s="12"/>
      <c r="E28" s="2"/>
      <c r="F28" s="9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9"/>
      <c r="C29" s="2"/>
      <c r="D29" s="12"/>
      <c r="E29" s="2"/>
      <c r="F29" s="9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9"/>
      <c r="C30" s="2"/>
      <c r="D30" s="12"/>
      <c r="E30" s="2"/>
      <c r="F30" s="9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9"/>
      <c r="C31" s="2"/>
      <c r="D31" s="12"/>
      <c r="E31" s="2"/>
      <c r="F31" s="9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9"/>
      <c r="C32" s="2"/>
      <c r="D32" s="12"/>
      <c r="E32" s="2"/>
      <c r="F32" s="9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9"/>
      <c r="C33" s="2"/>
      <c r="D33" s="12"/>
      <c r="E33" s="2"/>
      <c r="F33" s="9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9"/>
      <c r="C34" s="2"/>
      <c r="D34" s="12"/>
      <c r="E34" s="2"/>
      <c r="F34" s="9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9"/>
      <c r="C35" s="2"/>
      <c r="D35" s="12"/>
      <c r="E35" s="2"/>
      <c r="F35" s="9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9"/>
      <c r="C36" s="2"/>
      <c r="D36" s="12"/>
      <c r="E36" s="2"/>
      <c r="F36" s="9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9"/>
      <c r="C37" s="2"/>
      <c r="D37" s="12"/>
      <c r="E37" s="2"/>
      <c r="F37" s="9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9"/>
      <c r="C38" s="2"/>
      <c r="D38" s="12"/>
      <c r="E38" s="2"/>
      <c r="F38" s="9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9"/>
      <c r="C39" s="2"/>
      <c r="D39" s="12"/>
      <c r="E39" s="2"/>
      <c r="F39" s="9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9"/>
      <c r="C40" s="2"/>
      <c r="D40" s="12"/>
      <c r="E40" s="2"/>
      <c r="F40" s="9"/>
      <c r="G40" s="1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9"/>
      <c r="C41" s="2"/>
      <c r="D41" s="12"/>
      <c r="E41" s="2"/>
      <c r="F41" s="9"/>
      <c r="G41" s="10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9"/>
      <c r="C42" s="2"/>
      <c r="D42" s="12"/>
      <c r="E42" s="2"/>
      <c r="F42" s="9"/>
      <c r="G42" s="10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9"/>
      <c r="C43" s="2"/>
      <c r="D43" s="12"/>
      <c r="E43" s="2"/>
      <c r="F43" s="9"/>
      <c r="G43" s="10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9"/>
      <c r="C44" s="2"/>
      <c r="D44" s="12"/>
      <c r="E44" s="2"/>
      <c r="F44" s="9"/>
      <c r="G44" s="10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9"/>
      <c r="C45" s="2"/>
      <c r="D45" s="12"/>
      <c r="E45" s="2"/>
      <c r="F45" s="9"/>
      <c r="G45" s="10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9"/>
      <c r="C46" s="2"/>
      <c r="D46" s="12"/>
      <c r="E46" s="2"/>
      <c r="F46" s="9"/>
      <c r="G46" s="10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9"/>
      <c r="C47" s="2"/>
      <c r="D47" s="12"/>
      <c r="E47" s="2"/>
      <c r="F47" s="9"/>
      <c r="G47" s="10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9"/>
      <c r="C48" s="2"/>
      <c r="D48" s="12"/>
      <c r="E48" s="2"/>
      <c r="F48" s="9"/>
      <c r="G48" s="10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9"/>
      <c r="C49" s="2"/>
      <c r="D49" s="12"/>
      <c r="E49" s="2"/>
      <c r="F49" s="9"/>
      <c r="G49" s="10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9"/>
      <c r="C50" s="2"/>
      <c r="D50" s="12"/>
      <c r="E50" s="2"/>
      <c r="F50" s="9"/>
      <c r="G50" s="1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9"/>
      <c r="C51" s="2"/>
      <c r="D51" s="12"/>
      <c r="E51" s="2"/>
      <c r="F51" s="9"/>
      <c r="G51" s="10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9"/>
      <c r="C52" s="2"/>
      <c r="D52" s="12"/>
      <c r="E52" s="2"/>
      <c r="F52" s="9"/>
      <c r="G52" s="10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9"/>
      <c r="C53" s="2"/>
      <c r="D53" s="12"/>
      <c r="E53" s="2"/>
      <c r="F53" s="9"/>
      <c r="G53" s="10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9"/>
      <c r="C54" s="2"/>
      <c r="D54" s="12"/>
      <c r="E54" s="2"/>
      <c r="F54" s="9"/>
      <c r="G54" s="10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9"/>
      <c r="C55" s="2"/>
      <c r="D55" s="12"/>
      <c r="E55" s="2"/>
      <c r="F55" s="9"/>
      <c r="G55" s="1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9"/>
      <c r="C56" s="2"/>
      <c r="D56" s="12"/>
      <c r="E56" s="2"/>
      <c r="F56" s="9"/>
      <c r="G56" s="1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9"/>
      <c r="C57" s="2"/>
      <c r="D57" s="12"/>
      <c r="E57" s="2"/>
      <c r="F57" s="9"/>
      <c r="G57" s="10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9"/>
      <c r="C58" s="2"/>
      <c r="D58" s="12"/>
      <c r="E58" s="2"/>
      <c r="F58" s="9"/>
      <c r="G58" s="10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9"/>
      <c r="C59" s="2"/>
      <c r="D59" s="12"/>
      <c r="E59" s="2"/>
      <c r="F59" s="9"/>
      <c r="G59" s="10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9"/>
      <c r="C60" s="2"/>
      <c r="D60" s="12"/>
      <c r="E60" s="2"/>
      <c r="F60" s="9"/>
      <c r="G60" s="10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9"/>
      <c r="C61" s="2"/>
      <c r="D61" s="12"/>
      <c r="E61" s="2"/>
      <c r="F61" s="9"/>
      <c r="G61" s="10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9"/>
      <c r="C62" s="2"/>
      <c r="D62" s="12"/>
      <c r="E62" s="2"/>
      <c r="F62" s="9"/>
      <c r="G62" s="10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9"/>
      <c r="C63" s="2"/>
      <c r="D63" s="12"/>
      <c r="E63" s="2"/>
      <c r="F63" s="9"/>
      <c r="G63" s="10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9"/>
      <c r="C64" s="2"/>
      <c r="D64" s="12"/>
      <c r="E64" s="2"/>
      <c r="F64" s="9"/>
      <c r="G64" s="10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9"/>
      <c r="C65" s="2"/>
      <c r="D65" s="12"/>
      <c r="E65" s="2"/>
      <c r="F65" s="9"/>
      <c r="G65" s="10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9"/>
      <c r="C66" s="2"/>
      <c r="D66" s="12"/>
      <c r="E66" s="2"/>
      <c r="F66" s="9"/>
      <c r="G66" s="10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9"/>
      <c r="C67" s="2"/>
      <c r="D67" s="12"/>
      <c r="E67" s="2"/>
      <c r="F67" s="9"/>
      <c r="G67" s="10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9"/>
      <c r="C68" s="2"/>
      <c r="D68" s="12"/>
      <c r="E68" s="2"/>
      <c r="F68" s="9"/>
      <c r="G68" s="10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9"/>
      <c r="C69" s="2"/>
      <c r="D69" s="12"/>
      <c r="E69" s="2"/>
      <c r="F69" s="9"/>
      <c r="G69" s="10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9"/>
      <c r="C70" s="2"/>
      <c r="D70" s="12"/>
      <c r="E70" s="2"/>
      <c r="F70" s="9"/>
      <c r="G70" s="10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9"/>
      <c r="C71" s="2"/>
      <c r="D71" s="12"/>
      <c r="E71" s="2"/>
      <c r="F71" s="9"/>
      <c r="G71" s="10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9"/>
      <c r="C72" s="2"/>
      <c r="D72" s="12"/>
      <c r="E72" s="2"/>
      <c r="F72" s="9"/>
      <c r="G72" s="10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9"/>
      <c r="C73" s="2"/>
      <c r="D73" s="12"/>
      <c r="E73" s="2"/>
      <c r="F73" s="9"/>
      <c r="G73" s="10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9"/>
      <c r="C74" s="2"/>
      <c r="D74" s="12"/>
      <c r="E74" s="2"/>
      <c r="F74" s="9"/>
      <c r="G74" s="10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9"/>
      <c r="C75" s="2"/>
      <c r="D75" s="12"/>
      <c r="E75" s="2"/>
      <c r="F75" s="9"/>
      <c r="G75" s="10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9"/>
      <c r="C76" s="2"/>
      <c r="D76" s="12"/>
      <c r="E76" s="2"/>
      <c r="F76" s="9"/>
      <c r="G76" s="10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9"/>
      <c r="C77" s="2"/>
      <c r="D77" s="12"/>
      <c r="E77" s="2"/>
      <c r="F77" s="9"/>
      <c r="G77" s="10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9"/>
      <c r="C78" s="2"/>
      <c r="D78" s="12"/>
      <c r="E78" s="2"/>
      <c r="F78" s="9"/>
      <c r="G78" s="10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9"/>
      <c r="C79" s="2"/>
      <c r="D79" s="12"/>
      <c r="E79" s="2"/>
      <c r="F79" s="9"/>
      <c r="G79" s="10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9"/>
      <c r="C80" s="2"/>
      <c r="D80" s="12"/>
      <c r="E80" s="2"/>
      <c r="F80" s="9"/>
      <c r="G80" s="10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9"/>
      <c r="C81" s="2"/>
      <c r="D81" s="12"/>
      <c r="E81" s="2"/>
      <c r="F81" s="9"/>
      <c r="G81" s="10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9"/>
      <c r="C82" s="2"/>
      <c r="D82" s="12"/>
      <c r="E82" s="2"/>
      <c r="F82" s="9"/>
      <c r="G82" s="10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9"/>
      <c r="C83" s="2"/>
      <c r="D83" s="12"/>
      <c r="E83" s="2"/>
      <c r="F83" s="9"/>
      <c r="G83" s="10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9"/>
      <c r="C84" s="2"/>
      <c r="D84" s="12"/>
      <c r="E84" s="2"/>
      <c r="F84" s="9"/>
      <c r="G84" s="10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9"/>
      <c r="C85" s="2"/>
      <c r="D85" s="12"/>
      <c r="E85" s="2"/>
      <c r="F85" s="9"/>
      <c r="G85" s="10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9"/>
      <c r="C86" s="2"/>
      <c r="D86" s="12"/>
      <c r="E86" s="2"/>
      <c r="F86" s="9"/>
      <c r="G86" s="10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9"/>
      <c r="C87" s="2"/>
      <c r="D87" s="12"/>
      <c r="E87" s="2"/>
      <c r="F87" s="9"/>
      <c r="G87" s="10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9"/>
      <c r="C88" s="2"/>
      <c r="D88" s="12"/>
      <c r="E88" s="2"/>
      <c r="F88" s="9"/>
      <c r="G88" s="10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9"/>
      <c r="C89" s="2"/>
      <c r="D89" s="12"/>
      <c r="E89" s="2"/>
      <c r="F89" s="9"/>
      <c r="G89" s="10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9"/>
      <c r="C90" s="2"/>
      <c r="D90" s="12"/>
      <c r="E90" s="2"/>
      <c r="F90" s="9"/>
      <c r="G90" s="10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9"/>
      <c r="C91" s="2"/>
      <c r="D91" s="12"/>
      <c r="E91" s="2"/>
      <c r="F91" s="9"/>
      <c r="G91" s="10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9"/>
      <c r="C92" s="2"/>
      <c r="D92" s="12"/>
      <c r="E92" s="2"/>
      <c r="F92" s="9"/>
      <c r="G92" s="10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9"/>
      <c r="C93" s="2"/>
      <c r="D93" s="12"/>
      <c r="E93" s="2"/>
      <c r="F93" s="9"/>
      <c r="G93" s="10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9"/>
      <c r="C94" s="2"/>
      <c r="D94" s="12"/>
      <c r="E94" s="2"/>
      <c r="F94" s="9"/>
      <c r="G94" s="10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9"/>
      <c r="C95" s="2"/>
      <c r="D95" s="12"/>
      <c r="E95" s="2"/>
      <c r="F95" s="9"/>
      <c r="G95" s="10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9"/>
      <c r="C96" s="2"/>
      <c r="D96" s="12"/>
      <c r="E96" s="2"/>
      <c r="F96" s="9"/>
      <c r="G96" s="10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9"/>
      <c r="C97" s="2"/>
      <c r="D97" s="12"/>
      <c r="E97" s="2"/>
      <c r="F97" s="9"/>
      <c r="G97" s="10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9"/>
      <c r="C98" s="2"/>
      <c r="D98" s="12"/>
      <c r="E98" s="2"/>
      <c r="F98" s="9"/>
      <c r="G98" s="10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9"/>
      <c r="C99" s="2"/>
      <c r="D99" s="12"/>
      <c r="E99" s="2"/>
      <c r="F99" s="9"/>
      <c r="G99" s="10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9"/>
      <c r="C100" s="2"/>
      <c r="D100" s="12"/>
      <c r="E100" s="2"/>
      <c r="F100" s="9"/>
      <c r="G100" s="10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9"/>
      <c r="C101" s="2"/>
      <c r="D101" s="12"/>
      <c r="E101" s="2"/>
      <c r="F101" s="9"/>
      <c r="G101" s="10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9"/>
      <c r="C102" s="2"/>
      <c r="D102" s="12"/>
      <c r="E102" s="2"/>
      <c r="F102" s="9"/>
      <c r="G102" s="10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9"/>
      <c r="C103" s="2"/>
      <c r="D103" s="12"/>
      <c r="E103" s="2"/>
      <c r="F103" s="9"/>
      <c r="G103" s="10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9"/>
      <c r="C104" s="2"/>
      <c r="D104" s="12"/>
      <c r="E104" s="2"/>
      <c r="F104" s="9"/>
      <c r="G104" s="10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9"/>
      <c r="C105" s="2"/>
      <c r="D105" s="12"/>
      <c r="E105" s="2"/>
      <c r="F105" s="9"/>
      <c r="G105" s="10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9"/>
      <c r="C106" s="2"/>
      <c r="D106" s="12"/>
      <c r="E106" s="2"/>
      <c r="F106" s="9"/>
      <c r="G106" s="10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9"/>
      <c r="C107" s="2"/>
      <c r="D107" s="12"/>
      <c r="E107" s="2"/>
      <c r="F107" s="9"/>
      <c r="G107" s="10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9"/>
      <c r="C108" s="2"/>
      <c r="D108" s="12"/>
      <c r="E108" s="2"/>
      <c r="F108" s="9"/>
      <c r="G108" s="10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9"/>
      <c r="C109" s="2"/>
      <c r="D109" s="12"/>
      <c r="E109" s="2"/>
      <c r="F109" s="9"/>
      <c r="G109" s="10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9"/>
      <c r="C110" s="2"/>
      <c r="D110" s="12"/>
      <c r="E110" s="2"/>
      <c r="F110" s="9"/>
      <c r="G110" s="10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9"/>
      <c r="C111" s="2"/>
      <c r="D111" s="12"/>
      <c r="E111" s="2"/>
      <c r="F111" s="9"/>
      <c r="G111" s="10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9"/>
      <c r="C112" s="2"/>
      <c r="D112" s="12"/>
      <c r="E112" s="2"/>
      <c r="F112" s="9"/>
      <c r="G112" s="10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9"/>
      <c r="C113" s="2"/>
      <c r="D113" s="12"/>
      <c r="E113" s="2"/>
      <c r="F113" s="9"/>
      <c r="G113" s="10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9"/>
      <c r="C114" s="2"/>
      <c r="D114" s="12"/>
      <c r="E114" s="2"/>
      <c r="F114" s="9"/>
      <c r="G114" s="10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9"/>
      <c r="C115" s="2"/>
      <c r="D115" s="12"/>
      <c r="E115" s="2"/>
      <c r="F115" s="9"/>
      <c r="G115" s="10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9"/>
      <c r="C116" s="2"/>
      <c r="D116" s="12"/>
      <c r="E116" s="2"/>
      <c r="F116" s="9"/>
      <c r="G116" s="1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9"/>
      <c r="C117" s="2"/>
      <c r="D117" s="12"/>
      <c r="E117" s="2"/>
      <c r="F117" s="9"/>
      <c r="G117" s="1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9"/>
      <c r="C118" s="2"/>
      <c r="D118" s="12"/>
      <c r="E118" s="2"/>
      <c r="F118" s="9"/>
      <c r="G118" s="1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9"/>
      <c r="C119" s="2"/>
      <c r="D119" s="12"/>
      <c r="E119" s="2"/>
      <c r="F119" s="9"/>
      <c r="G119" s="1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9"/>
      <c r="C120" s="2"/>
      <c r="D120" s="12"/>
      <c r="E120" s="2"/>
      <c r="F120" s="9"/>
      <c r="G120" s="1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9"/>
      <c r="C121" s="2"/>
      <c r="D121" s="12"/>
      <c r="E121" s="2"/>
      <c r="F121" s="9"/>
      <c r="G121" s="1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9"/>
      <c r="C122" s="2"/>
      <c r="D122" s="12"/>
      <c r="E122" s="2"/>
      <c r="F122" s="9"/>
      <c r="G122" s="10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9"/>
      <c r="C123" s="2"/>
      <c r="D123" s="12"/>
      <c r="E123" s="2"/>
      <c r="F123" s="9"/>
      <c r="G123" s="1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9"/>
      <c r="C124" s="2"/>
      <c r="D124" s="12"/>
      <c r="E124" s="2"/>
      <c r="F124" s="9"/>
      <c r="G124" s="1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9"/>
      <c r="C125" s="2"/>
      <c r="D125" s="12"/>
      <c r="E125" s="2"/>
      <c r="F125" s="9"/>
      <c r="G125" s="1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9"/>
      <c r="C126" s="2"/>
      <c r="D126" s="12"/>
      <c r="E126" s="2"/>
      <c r="F126" s="9"/>
      <c r="G126" s="1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9"/>
      <c r="C127" s="2"/>
      <c r="D127" s="12"/>
      <c r="E127" s="2"/>
      <c r="F127" s="9"/>
      <c r="G127" s="10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9"/>
      <c r="C128" s="2"/>
      <c r="D128" s="12"/>
      <c r="E128" s="2"/>
      <c r="F128" s="9"/>
      <c r="G128" s="1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9"/>
      <c r="C129" s="2"/>
      <c r="D129" s="12"/>
      <c r="E129" s="2"/>
      <c r="F129" s="9"/>
      <c r="G129" s="1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9"/>
      <c r="C130" s="2"/>
      <c r="D130" s="12"/>
      <c r="E130" s="2"/>
      <c r="F130" s="9"/>
      <c r="G130" s="1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9"/>
      <c r="C131" s="2"/>
      <c r="D131" s="12"/>
      <c r="E131" s="2"/>
      <c r="F131" s="9"/>
      <c r="G131" s="10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9"/>
      <c r="C132" s="2"/>
      <c r="D132" s="12"/>
      <c r="E132" s="2"/>
      <c r="F132" s="9"/>
      <c r="G132" s="1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9"/>
      <c r="C133" s="2"/>
      <c r="D133" s="12"/>
      <c r="E133" s="2"/>
      <c r="F133" s="9"/>
      <c r="G133" s="10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9"/>
      <c r="C134" s="2"/>
      <c r="D134" s="12"/>
      <c r="E134" s="2"/>
      <c r="F134" s="9"/>
      <c r="G134" s="10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9"/>
      <c r="C135" s="2"/>
      <c r="D135" s="12"/>
      <c r="E135" s="2"/>
      <c r="F135" s="9"/>
      <c r="G135" s="1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9"/>
      <c r="C136" s="2"/>
      <c r="D136" s="12"/>
      <c r="E136" s="2"/>
      <c r="F136" s="9"/>
      <c r="G136" s="1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9"/>
      <c r="C137" s="2"/>
      <c r="D137" s="12"/>
      <c r="E137" s="2"/>
      <c r="F137" s="9"/>
      <c r="G137" s="1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9"/>
      <c r="C138" s="2"/>
      <c r="D138" s="12"/>
      <c r="E138" s="2"/>
      <c r="F138" s="9"/>
      <c r="G138" s="1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9"/>
      <c r="C139" s="2"/>
      <c r="D139" s="12"/>
      <c r="E139" s="2"/>
      <c r="F139" s="9"/>
      <c r="G139" s="1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9"/>
      <c r="C140" s="2"/>
      <c r="D140" s="12"/>
      <c r="E140" s="2"/>
      <c r="F140" s="9"/>
      <c r="G140" s="1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9"/>
      <c r="C141" s="2"/>
      <c r="D141" s="12"/>
      <c r="E141" s="2"/>
      <c r="F141" s="9"/>
      <c r="G141" s="1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9"/>
      <c r="C142" s="2"/>
      <c r="D142" s="12"/>
      <c r="E142" s="2"/>
      <c r="F142" s="9"/>
      <c r="G142" s="1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9"/>
      <c r="C143" s="2"/>
      <c r="D143" s="12"/>
      <c r="E143" s="2"/>
      <c r="F143" s="9"/>
      <c r="G143" s="1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9"/>
      <c r="C144" s="2"/>
      <c r="D144" s="12"/>
      <c r="E144" s="2"/>
      <c r="F144" s="9"/>
      <c r="G144" s="1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9"/>
      <c r="C145" s="2"/>
      <c r="D145" s="12"/>
      <c r="E145" s="2"/>
      <c r="F145" s="9"/>
      <c r="G145" s="1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9"/>
      <c r="C146" s="2"/>
      <c r="D146" s="12"/>
      <c r="E146" s="2"/>
      <c r="F146" s="9"/>
      <c r="G146" s="1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9"/>
      <c r="C147" s="2"/>
      <c r="D147" s="12"/>
      <c r="E147" s="2"/>
      <c r="F147" s="9"/>
      <c r="G147" s="1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9"/>
      <c r="C148" s="2"/>
      <c r="D148" s="12"/>
      <c r="E148" s="2"/>
      <c r="F148" s="9"/>
      <c r="G148" s="1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9"/>
      <c r="C149" s="2"/>
      <c r="D149" s="12"/>
      <c r="E149" s="2"/>
      <c r="F149" s="9"/>
      <c r="G149" s="1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9"/>
      <c r="C150" s="2"/>
      <c r="D150" s="12"/>
      <c r="E150" s="2"/>
      <c r="F150" s="9"/>
      <c r="G150" s="1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9"/>
      <c r="C151" s="2"/>
      <c r="D151" s="12"/>
      <c r="E151" s="2"/>
      <c r="F151" s="9"/>
      <c r="G151" s="1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9"/>
      <c r="C152" s="2"/>
      <c r="D152" s="12"/>
      <c r="E152" s="2"/>
      <c r="F152" s="9"/>
      <c r="G152" s="1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9"/>
      <c r="C153" s="2"/>
      <c r="D153" s="12"/>
      <c r="E153" s="2"/>
      <c r="F153" s="9"/>
      <c r="G153" s="1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9"/>
      <c r="C154" s="2"/>
      <c r="D154" s="12"/>
      <c r="E154" s="2"/>
      <c r="F154" s="9"/>
      <c r="G154" s="1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9"/>
      <c r="C155" s="2"/>
      <c r="D155" s="12"/>
      <c r="E155" s="2"/>
      <c r="F155" s="9"/>
      <c r="G155" s="1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9"/>
      <c r="C156" s="2"/>
      <c r="D156" s="12"/>
      <c r="E156" s="2"/>
      <c r="F156" s="9"/>
      <c r="G156" s="1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9"/>
      <c r="C157" s="2"/>
      <c r="D157" s="12"/>
      <c r="E157" s="2"/>
      <c r="F157" s="9"/>
      <c r="G157" s="1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9"/>
      <c r="C158" s="2"/>
      <c r="D158" s="12"/>
      <c r="E158" s="2"/>
      <c r="F158" s="9"/>
      <c r="G158" s="1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9"/>
      <c r="C159" s="2"/>
      <c r="D159" s="12"/>
      <c r="E159" s="2"/>
      <c r="F159" s="9"/>
      <c r="G159" s="1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9"/>
      <c r="C160" s="2"/>
      <c r="D160" s="12"/>
      <c r="E160" s="2"/>
      <c r="F160" s="9"/>
      <c r="G160" s="1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9"/>
      <c r="C161" s="2"/>
      <c r="D161" s="12"/>
      <c r="E161" s="2"/>
      <c r="F161" s="9"/>
      <c r="G161" s="1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9"/>
      <c r="C162" s="2"/>
      <c r="D162" s="12"/>
      <c r="E162" s="2"/>
      <c r="F162" s="9"/>
      <c r="G162" s="1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9"/>
      <c r="C163" s="2"/>
      <c r="D163" s="12"/>
      <c r="E163" s="2"/>
      <c r="F163" s="9"/>
      <c r="G163" s="1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9"/>
      <c r="C164" s="2"/>
      <c r="D164" s="12"/>
      <c r="E164" s="2"/>
      <c r="F164" s="9"/>
      <c r="G164" s="1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9"/>
      <c r="C165" s="2"/>
      <c r="D165" s="12"/>
      <c r="E165" s="2"/>
      <c r="F165" s="9"/>
      <c r="G165" s="1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9"/>
      <c r="C166" s="2"/>
      <c r="D166" s="12"/>
      <c r="E166" s="2"/>
      <c r="F166" s="9"/>
      <c r="G166" s="1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9"/>
      <c r="C167" s="2"/>
      <c r="D167" s="12"/>
      <c r="E167" s="2"/>
      <c r="F167" s="9"/>
      <c r="G167" s="1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9"/>
      <c r="C168" s="2"/>
      <c r="D168" s="12"/>
      <c r="E168" s="2"/>
      <c r="F168" s="9"/>
      <c r="G168" s="1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9"/>
      <c r="C169" s="2"/>
      <c r="D169" s="12"/>
      <c r="E169" s="2"/>
      <c r="F169" s="9"/>
      <c r="G169" s="1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9"/>
      <c r="C170" s="2"/>
      <c r="D170" s="12"/>
      <c r="E170" s="2"/>
      <c r="F170" s="9"/>
      <c r="G170" s="1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9"/>
      <c r="C171" s="2"/>
      <c r="D171" s="12"/>
      <c r="E171" s="2"/>
      <c r="F171" s="9"/>
      <c r="G171" s="1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9"/>
      <c r="C172" s="2"/>
      <c r="D172" s="12"/>
      <c r="E172" s="2"/>
      <c r="F172" s="9"/>
      <c r="G172" s="1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9"/>
      <c r="C173" s="2"/>
      <c r="D173" s="12"/>
      <c r="E173" s="2"/>
      <c r="F173" s="9"/>
      <c r="G173" s="1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9"/>
      <c r="C174" s="2"/>
      <c r="D174" s="12"/>
      <c r="E174" s="2"/>
      <c r="F174" s="9"/>
      <c r="G174" s="1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9"/>
      <c r="C175" s="2"/>
      <c r="D175" s="12"/>
      <c r="E175" s="2"/>
      <c r="F175" s="9"/>
      <c r="G175" s="1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9"/>
      <c r="C176" s="2"/>
      <c r="D176" s="12"/>
      <c r="E176" s="2"/>
      <c r="F176" s="9"/>
      <c r="G176" s="1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9"/>
      <c r="C177" s="2"/>
      <c r="D177" s="12"/>
      <c r="E177" s="2"/>
      <c r="F177" s="9"/>
      <c r="G177" s="1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9"/>
      <c r="C178" s="2"/>
      <c r="D178" s="12"/>
      <c r="E178" s="2"/>
      <c r="F178" s="9"/>
      <c r="G178" s="1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9"/>
      <c r="C179" s="2"/>
      <c r="D179" s="12"/>
      <c r="E179" s="2"/>
      <c r="F179" s="9"/>
      <c r="G179" s="1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9"/>
      <c r="C180" s="2"/>
      <c r="D180" s="12"/>
      <c r="E180" s="2"/>
      <c r="F180" s="9"/>
      <c r="G180" s="1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9"/>
      <c r="C181" s="2"/>
      <c r="D181" s="12"/>
      <c r="E181" s="2"/>
      <c r="F181" s="9"/>
      <c r="G181" s="1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9"/>
      <c r="C182" s="2"/>
      <c r="D182" s="12"/>
      <c r="E182" s="2"/>
      <c r="F182" s="9"/>
      <c r="G182" s="1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9"/>
      <c r="C183" s="2"/>
      <c r="D183" s="12"/>
      <c r="E183" s="2"/>
      <c r="F183" s="9"/>
      <c r="G183" s="1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9"/>
      <c r="C184" s="2"/>
      <c r="D184" s="12"/>
      <c r="E184" s="2"/>
      <c r="F184" s="9"/>
      <c r="G184" s="1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9"/>
      <c r="C185" s="2"/>
      <c r="D185" s="12"/>
      <c r="E185" s="2"/>
      <c r="F185" s="9"/>
      <c r="G185" s="1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9"/>
      <c r="C186" s="2"/>
      <c r="D186" s="12"/>
      <c r="E186" s="2"/>
      <c r="F186" s="9"/>
      <c r="G186" s="1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9"/>
      <c r="C187" s="2"/>
      <c r="D187" s="12"/>
      <c r="E187" s="2"/>
      <c r="F187" s="9"/>
      <c r="G187" s="1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9"/>
      <c r="C188" s="2"/>
      <c r="D188" s="12"/>
      <c r="E188" s="2"/>
      <c r="F188" s="9"/>
      <c r="G188" s="1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9"/>
      <c r="C189" s="2"/>
      <c r="D189" s="12"/>
      <c r="E189" s="2"/>
      <c r="F189" s="9"/>
      <c r="G189" s="1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9"/>
      <c r="C190" s="2"/>
      <c r="D190" s="12"/>
      <c r="E190" s="2"/>
      <c r="F190" s="9"/>
      <c r="G190" s="1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9"/>
      <c r="C191" s="2"/>
      <c r="D191" s="12"/>
      <c r="E191" s="2"/>
      <c r="F191" s="9"/>
      <c r="G191" s="1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9"/>
      <c r="C192" s="2"/>
      <c r="D192" s="12"/>
      <c r="E192" s="2"/>
      <c r="F192" s="9"/>
      <c r="G192" s="1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9"/>
      <c r="C193" s="2"/>
      <c r="D193" s="12"/>
      <c r="E193" s="2"/>
      <c r="F193" s="9"/>
      <c r="G193" s="1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9"/>
      <c r="C194" s="2"/>
      <c r="D194" s="12"/>
      <c r="E194" s="2"/>
      <c r="F194" s="9"/>
      <c r="G194" s="1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9"/>
      <c r="C195" s="2"/>
      <c r="D195" s="12"/>
      <c r="E195" s="2"/>
      <c r="F195" s="9"/>
      <c r="G195" s="1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9"/>
      <c r="C196" s="2"/>
      <c r="D196" s="12"/>
      <c r="E196" s="2"/>
      <c r="F196" s="9"/>
      <c r="G196" s="1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9"/>
      <c r="C197" s="2"/>
      <c r="D197" s="12"/>
      <c r="E197" s="2"/>
      <c r="F197" s="9"/>
      <c r="G197" s="1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9"/>
      <c r="C198" s="2"/>
      <c r="D198" s="12"/>
      <c r="E198" s="2"/>
      <c r="F198" s="9"/>
      <c r="G198" s="1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9"/>
      <c r="C199" s="2"/>
      <c r="D199" s="12"/>
      <c r="E199" s="2"/>
      <c r="F199" s="9"/>
      <c r="G199" s="1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9"/>
      <c r="C200" s="2"/>
      <c r="D200" s="12"/>
      <c r="E200" s="2"/>
      <c r="F200" s="9"/>
      <c r="G200" s="1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8:K8"/>
  </mergeCells>
  <dataValidations count="1">
    <dataValidation type="list" sqref="D4:D200" xr:uid="{00000000-0002-0000-0C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2"/>
  <sheetViews>
    <sheetView tabSelected="1" workbookViewId="0">
      <selection sqref="A1:K1"/>
    </sheetView>
  </sheetViews>
  <sheetFormatPr defaultRowHeight="14"/>
  <cols>
    <col min="1" max="1" width="24" customWidth="1"/>
    <col min="2" max="2" width="16" customWidth="1"/>
    <col min="3" max="5" width="28" customWidth="1"/>
    <col min="6" max="6" width="36" customWidth="1"/>
  </cols>
  <sheetData>
    <row r="1" spans="1:11" ht="16" customHeight="1">
      <c r="A1" s="18" t="s">
        <v>223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>
      <c r="A3" s="4" t="s">
        <v>224</v>
      </c>
      <c r="B3" s="4" t="s">
        <v>225</v>
      </c>
      <c r="C3" s="4" t="s">
        <v>226</v>
      </c>
      <c r="D3" s="4" t="s">
        <v>227</v>
      </c>
      <c r="E3" s="4" t="s">
        <v>228</v>
      </c>
      <c r="F3" s="4" t="s">
        <v>229</v>
      </c>
    </row>
    <row r="4" spans="1:11">
      <c r="A4" s="2" t="s">
        <v>230</v>
      </c>
      <c r="B4" s="2" t="s">
        <v>52</v>
      </c>
      <c r="C4" s="2" t="s">
        <v>231</v>
      </c>
      <c r="D4" s="2" t="s">
        <v>232</v>
      </c>
      <c r="E4" s="2" t="s">
        <v>233</v>
      </c>
      <c r="F4" s="2" t="s">
        <v>234</v>
      </c>
    </row>
    <row r="5" spans="1:11">
      <c r="A5" s="2" t="s">
        <v>235</v>
      </c>
      <c r="B5" s="2" t="s">
        <v>47</v>
      </c>
      <c r="C5" s="2" t="s">
        <v>236</v>
      </c>
      <c r="D5" s="2" t="s">
        <v>237</v>
      </c>
      <c r="E5" s="2" t="s">
        <v>238</v>
      </c>
      <c r="F5" s="2" t="s">
        <v>239</v>
      </c>
    </row>
    <row r="6" spans="1:11">
      <c r="A6" s="2" t="s">
        <v>240</v>
      </c>
      <c r="B6" s="2" t="s">
        <v>47</v>
      </c>
      <c r="C6" s="2" t="s">
        <v>241</v>
      </c>
      <c r="D6" s="2" t="s">
        <v>237</v>
      </c>
      <c r="E6" s="2" t="s">
        <v>238</v>
      </c>
      <c r="F6" s="2" t="s">
        <v>242</v>
      </c>
    </row>
    <row r="7" spans="1:11">
      <c r="A7" s="2" t="s">
        <v>243</v>
      </c>
      <c r="B7" s="2" t="s">
        <v>47</v>
      </c>
      <c r="C7" s="2" t="s">
        <v>244</v>
      </c>
      <c r="D7" s="2" t="s">
        <v>232</v>
      </c>
      <c r="E7" s="2" t="s">
        <v>245</v>
      </c>
      <c r="F7" s="2" t="s">
        <v>246</v>
      </c>
    </row>
    <row r="8" spans="1:11">
      <c r="A8" s="2" t="s">
        <v>247</v>
      </c>
      <c r="B8" s="2" t="s">
        <v>52</v>
      </c>
      <c r="C8" s="2" t="s">
        <v>248</v>
      </c>
      <c r="D8" s="2" t="s">
        <v>249</v>
      </c>
      <c r="E8" s="2" t="s">
        <v>250</v>
      </c>
      <c r="F8" s="2" t="s">
        <v>251</v>
      </c>
    </row>
    <row r="10" spans="1:11" ht="28" customHeight="1">
      <c r="A10" s="27" t="s">
        <v>33</v>
      </c>
      <c r="B10" s="19" t="s">
        <v>252</v>
      </c>
      <c r="C10" s="19"/>
      <c r="D10" s="19"/>
      <c r="E10" s="19"/>
      <c r="F10" s="19"/>
    </row>
    <row r="11" spans="1:11">
      <c r="A11" t="s">
        <v>253</v>
      </c>
      <c r="B11" t="s">
        <v>254</v>
      </c>
    </row>
    <row r="12" spans="1:11">
      <c r="A12" t="s">
        <v>255</v>
      </c>
      <c r="B12" t="s">
        <v>256</v>
      </c>
    </row>
  </sheetData>
  <mergeCells count="2">
    <mergeCell ref="A1:K1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00_README</vt:lpstr>
      <vt:lpstr>00_REFERENSI</vt:lpstr>
      <vt:lpstr>01_Rumpun</vt:lpstr>
      <vt:lpstr>02_Unit_Kerja</vt:lpstr>
      <vt:lpstr>03_Jabatan</vt:lpstr>
      <vt:lpstr>04_Pegawai</vt:lpstr>
      <vt:lpstr>05_Riwayat_Jabatan</vt:lpstr>
      <vt:lpstr>06_Pelatihan</vt:lpstr>
      <vt:lpstr>07_Riwayat_Pelatihan</vt:lpstr>
      <vt:lpstr>08_Indikator_Kinerja</vt:lpstr>
      <vt:lpstr>09_Kriteria_SAW</vt:lpstr>
      <vt:lpstr>10_Periode_Penilaian</vt:lpstr>
      <vt:lpstr>11_Penilaian_Kinerja</vt:lpstr>
      <vt:lpstr>12_Panduan_Konversi_SAW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Rahmawati</dc:creator>
  <cp:lastModifiedBy>Anita Rahmawati</cp:lastModifiedBy>
  <dcterms:created xsi:type="dcterms:W3CDTF">2026-06-16T01:24:45Z</dcterms:created>
  <dcterms:modified xsi:type="dcterms:W3CDTF">2026-06-16T01:24:45Z</dcterms:modified>
</cp:coreProperties>
</file>